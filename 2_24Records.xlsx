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mara_trejos\Desktop\"/>
    </mc:Choice>
  </mc:AlternateContent>
  <xr:revisionPtr revIDLastSave="0" documentId="8_{42BC0B1E-4B59-48D9-876A-211078680334}" xr6:coauthVersionLast="47" xr6:coauthVersionMax="47" xr10:uidLastSave="{00000000-0000-0000-0000-000000000000}"/>
  <bookViews>
    <workbookView xWindow="-110" yWindow="-110" windowWidth="19420" windowHeight="10300" xr2:uid="{7FF6B6EA-5D16-4745-A0AE-F60C5FC01E54}"/>
  </bookViews>
  <sheets>
    <sheet name="工作表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2" i="1" l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J99" i="1"/>
  <c r="K99" i="1" s="1"/>
  <c r="K98" i="1"/>
  <c r="J98" i="1"/>
  <c r="J97" i="1"/>
  <c r="K97" i="1" s="1"/>
  <c r="K96" i="1"/>
  <c r="J96" i="1"/>
  <c r="J95" i="1"/>
  <c r="K95" i="1" s="1"/>
  <c r="K94" i="1"/>
  <c r="J94" i="1"/>
  <c r="J93" i="1"/>
  <c r="K93" i="1" s="1"/>
  <c r="K92" i="1"/>
  <c r="J92" i="1"/>
  <c r="J91" i="1"/>
  <c r="K91" i="1" s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J45" i="1"/>
  <c r="K45" i="1" s="1"/>
  <c r="K44" i="1"/>
  <c r="J44" i="1"/>
  <c r="J43" i="1"/>
  <c r="K43" i="1" s="1"/>
  <c r="K42" i="1"/>
  <c r="J42" i="1"/>
  <c r="J41" i="1"/>
  <c r="K41" i="1" s="1"/>
  <c r="K40" i="1"/>
  <c r="J40" i="1"/>
  <c r="J39" i="1"/>
  <c r="K39" i="1" s="1"/>
  <c r="K38" i="1"/>
  <c r="J38" i="1"/>
  <c r="J37" i="1"/>
  <c r="K37" i="1" s="1"/>
  <c r="K36" i="1"/>
  <c r="J36" i="1"/>
  <c r="J35" i="1"/>
  <c r="K35" i="1" s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J23" i="1"/>
  <c r="K23" i="1" s="1"/>
  <c r="K22" i="1"/>
  <c r="J22" i="1"/>
  <c r="J21" i="1"/>
  <c r="K21" i="1" s="1"/>
  <c r="K20" i="1"/>
  <c r="J20" i="1"/>
  <c r="J19" i="1"/>
  <c r="K19" i="1" s="1"/>
  <c r="K18" i="1"/>
  <c r="J18" i="1"/>
  <c r="J17" i="1"/>
  <c r="K17" i="1" s="1"/>
  <c r="K16" i="1"/>
  <c r="J16" i="1"/>
  <c r="J15" i="1"/>
  <c r="K15" i="1" s="1"/>
  <c r="K14" i="1"/>
  <c r="J14" i="1"/>
  <c r="J13" i="1"/>
  <c r="K13" i="1" s="1"/>
  <c r="K12" i="1"/>
  <c r="J12" i="1"/>
  <c r="J11" i="1"/>
  <c r="K11" i="1" s="1"/>
  <c r="K10" i="1"/>
  <c r="J10" i="1"/>
  <c r="J9" i="1"/>
  <c r="K9" i="1" s="1"/>
  <c r="K8" i="1"/>
  <c r="J8" i="1"/>
  <c r="J7" i="1"/>
  <c r="K7" i="1" s="1"/>
  <c r="K6" i="1"/>
  <c r="J6" i="1"/>
  <c r="J5" i="1"/>
  <c r="K5" i="1" s="1"/>
  <c r="K4" i="1"/>
  <c r="J4" i="1"/>
  <c r="J3" i="1"/>
  <c r="K3" i="1" s="1"/>
  <c r="K2" i="1"/>
  <c r="J2" i="1"/>
</calcChain>
</file>

<file path=xl/sharedStrings.xml><?xml version="1.0" encoding="utf-8"?>
<sst xmlns="http://schemas.openxmlformats.org/spreadsheetml/2006/main" count="266" uniqueCount="27">
  <si>
    <t>日期</t>
  </si>
  <si>
    <t>時間</t>
  </si>
  <si>
    <t>測試槽</t>
    <phoneticPr fontId="2" type="noConversion"/>
  </si>
  <si>
    <t>泵浦編號</t>
  </si>
  <si>
    <t>序號</t>
  </si>
  <si>
    <t>定子溫度 A</t>
    <phoneticPr fontId="2" type="noConversion"/>
  </si>
  <si>
    <t>定子溫度 B</t>
  </si>
  <si>
    <t>環境溫度</t>
    <phoneticPr fontId="2" type="noConversion"/>
  </si>
  <si>
    <t>運轉電流 (A)</t>
    <phoneticPr fontId="2" type="noConversion"/>
  </si>
  <si>
    <r>
      <t>泵浦</t>
    </r>
    <r>
      <rPr>
        <b/>
        <sz val="12"/>
        <color theme="0"/>
        <rFont val="Microsoft YaHei"/>
        <family val="2"/>
        <charset val="134"/>
      </rPr>
      <t xml:space="preserve"> HP</t>
    </r>
    <phoneticPr fontId="2" type="noConversion"/>
  </si>
  <si>
    <r>
      <t>Al</t>
    </r>
    <r>
      <rPr>
        <b/>
        <sz val="12"/>
        <color theme="0"/>
        <rFont val="Microsoft YaHei"/>
        <family val="2"/>
        <charset val="134"/>
      </rPr>
      <t>arm</t>
    </r>
    <phoneticPr fontId="2" type="noConversion"/>
  </si>
  <si>
    <t>1號水槽水溫度</t>
    <phoneticPr fontId="2" type="noConversion"/>
  </si>
  <si>
    <t>2號水槽水溫度</t>
    <phoneticPr fontId="2" type="noConversion"/>
  </si>
  <si>
    <t>1號水槽</t>
  </si>
  <si>
    <t>P-01</t>
  </si>
  <si>
    <t>P-02</t>
  </si>
  <si>
    <t>P-05</t>
  </si>
  <si>
    <t>P-06</t>
  </si>
  <si>
    <t>P-09</t>
  </si>
  <si>
    <t>P-10</t>
  </si>
  <si>
    <t>2號水槽</t>
  </si>
  <si>
    <t>P-03</t>
  </si>
  <si>
    <t>P-04</t>
  </si>
  <si>
    <t>P-07</t>
  </si>
  <si>
    <t>P-11</t>
  </si>
  <si>
    <t>P-12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</si>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</sst>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°C&quot;"/>
  </numFmts>
  <fonts count="5">
    <font>
      <sz val="12"/>
      <color theme="1"/>
      <name val="Taipei Sans TC Beta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sz val="9"/>
      <name val="Taipei Sans TC Beta"/>
      <family val="2"/>
      <charset val="136"/>
      <scheme val="minor"/>
    </font>
    <font>
      <b/>
      <sz val="12"/>
      <color theme="0"/>
      <name val="Microsoft YaHei"/>
      <family val="2"/>
      <charset val="134"/>
    </font>
    <font>
      <sz val="12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20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</cellXfs>
  <cellStyles count="1">
    <cellStyle name="一般" xfId="0" builtinId="0"/>
  </cellStyles>
  <dxfs count="1">
    <dxf>
      <font>
        <color theme="6"/>
      </font>
      <fill>
        <patternFill>
          <bgColor rgb="FFFFE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mara_trejos\Desktop\&#27745;&#29289;&#27893;&#28006;_&#22781;&#21629;&#28204;&#35430;&#36914;&#24230;&#22577;&#21578;_20260211.xlsx" TargetMode="External"/><Relationship Id="rId1" Type="http://schemas.openxmlformats.org/officeDocument/2006/relationships/externalLinkPath" Target="&#27745;&#29289;&#27893;&#28006;_&#22781;&#21629;&#28204;&#35430;&#36914;&#24230;&#22577;&#21578;_202602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監測總表"/>
      <sheetName val="定子溫度-分析表"/>
      <sheetName val="溫度提昇-分析表"/>
      <sheetName val="數據分析"/>
      <sheetName val="Main Report"/>
      <sheetName val="PRINT"/>
      <sheetName val="設備資料"/>
      <sheetName val="其他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泵浦編號 (ID)</v>
          </cell>
          <cell r="B1" t="str">
            <v>泵浦型式</v>
          </cell>
          <cell r="C1" t="str">
            <v>鐵牌序號 (S/N)</v>
          </cell>
          <cell r="D1" t="str">
            <v xml:space="preserve">ISO序號 </v>
          </cell>
          <cell r="E1" t="str">
            <v>馬力 (HP)</v>
          </cell>
        </row>
        <row r="2">
          <cell r="A2" t="str">
            <v>P-01</v>
          </cell>
          <cell r="B2" t="str">
            <v>PSI80-2-1.5V</v>
          </cell>
          <cell r="C2">
            <v>202510001</v>
          </cell>
          <cell r="D2" t="str">
            <v>NA</v>
          </cell>
          <cell r="E2">
            <v>2</v>
          </cell>
        </row>
        <row r="3">
          <cell r="A3" t="str">
            <v>P-02</v>
          </cell>
          <cell r="B3" t="str">
            <v>PSI80-2-1.5V</v>
          </cell>
          <cell r="C3">
            <v>202510006</v>
          </cell>
          <cell r="D3" t="str">
            <v>NA</v>
          </cell>
          <cell r="E3">
            <v>2</v>
          </cell>
        </row>
        <row r="4">
          <cell r="A4" t="str">
            <v>P-03</v>
          </cell>
          <cell r="B4" t="str">
            <v>PSI80-2-1.5V</v>
          </cell>
          <cell r="C4">
            <v>202510024</v>
          </cell>
          <cell r="D4">
            <v>251200457</v>
          </cell>
          <cell r="E4">
            <v>2</v>
          </cell>
        </row>
        <row r="5">
          <cell r="A5" t="str">
            <v>P-04</v>
          </cell>
          <cell r="B5" t="str">
            <v>PSI80-2-1.5V</v>
          </cell>
          <cell r="C5">
            <v>202510026</v>
          </cell>
          <cell r="D5">
            <v>251200462</v>
          </cell>
          <cell r="E5">
            <v>2</v>
          </cell>
        </row>
        <row r="6">
          <cell r="A6" t="str">
            <v>P-05</v>
          </cell>
          <cell r="B6" t="str">
            <v>PSI80-2-2.2V</v>
          </cell>
          <cell r="C6">
            <v>202511011</v>
          </cell>
          <cell r="D6">
            <v>251200524</v>
          </cell>
          <cell r="E6">
            <v>3</v>
          </cell>
        </row>
        <row r="7">
          <cell r="A7" t="str">
            <v>P-06</v>
          </cell>
          <cell r="B7" t="str">
            <v>PSI80-2-2.2V</v>
          </cell>
          <cell r="C7">
            <v>202511012</v>
          </cell>
          <cell r="D7" t="str">
            <v>NA</v>
          </cell>
          <cell r="E7">
            <v>3</v>
          </cell>
        </row>
        <row r="8">
          <cell r="A8" t="str">
            <v>P-07</v>
          </cell>
          <cell r="B8" t="str">
            <v>PSI80-2-2.2V</v>
          </cell>
          <cell r="C8">
            <v>202511017</v>
          </cell>
          <cell r="D8">
            <v>251200529</v>
          </cell>
          <cell r="E8">
            <v>3</v>
          </cell>
        </row>
        <row r="9">
          <cell r="A9" t="str">
            <v>P-08</v>
          </cell>
          <cell r="B9" t="str">
            <v>PSI80-2-2.2V</v>
          </cell>
          <cell r="C9">
            <v>202511019</v>
          </cell>
          <cell r="D9">
            <v>251200523</v>
          </cell>
          <cell r="E9">
            <v>3</v>
          </cell>
        </row>
        <row r="10">
          <cell r="A10" t="str">
            <v>P-09</v>
          </cell>
          <cell r="B10" t="str">
            <v>PSI80-2-3.7V</v>
          </cell>
          <cell r="C10">
            <v>202511001</v>
          </cell>
          <cell r="D10">
            <v>251200569</v>
          </cell>
          <cell r="E10">
            <v>5</v>
          </cell>
        </row>
        <row r="11">
          <cell r="A11" t="str">
            <v>P-10</v>
          </cell>
          <cell r="B11" t="str">
            <v>PSI80-2-3.7V</v>
          </cell>
          <cell r="C11">
            <v>202511002</v>
          </cell>
          <cell r="D11">
            <v>251200573</v>
          </cell>
          <cell r="E11">
            <v>5</v>
          </cell>
        </row>
        <row r="12">
          <cell r="A12" t="str">
            <v>P-11</v>
          </cell>
          <cell r="B12" t="str">
            <v>PSI80-2-3.7V</v>
          </cell>
          <cell r="C12">
            <v>202511005</v>
          </cell>
          <cell r="D12">
            <v>251200570</v>
          </cell>
          <cell r="E12">
            <v>5</v>
          </cell>
        </row>
        <row r="13">
          <cell r="A13" t="str">
            <v>P-12</v>
          </cell>
          <cell r="B13" t="str">
            <v>PSI80-2-3.7V</v>
          </cell>
          <cell r="C13" t="str">
            <v>NA</v>
          </cell>
          <cell r="D13" t="str">
            <v>NA</v>
          </cell>
          <cell r="E13">
            <v>5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Walrus_PPT">
  <a:themeElements>
    <a:clrScheme name="自訂 5">
      <a:dk1>
        <a:srgbClr val="000000"/>
      </a:dk1>
      <a:lt1>
        <a:srgbClr val="FFFFFF"/>
      </a:lt1>
      <a:dk2>
        <a:srgbClr val="00A1E5"/>
      </a:dk2>
      <a:lt2>
        <a:srgbClr val="FFFFFF"/>
      </a:lt2>
      <a:accent1>
        <a:srgbClr val="00428E"/>
      </a:accent1>
      <a:accent2>
        <a:srgbClr val="FFD900"/>
      </a:accent2>
      <a:accent3>
        <a:srgbClr val="C53A55"/>
      </a:accent3>
      <a:accent4>
        <a:srgbClr val="0D7572"/>
      </a:accent4>
      <a:accent5>
        <a:srgbClr val="FF8F53"/>
      </a:accent5>
      <a:accent6>
        <a:srgbClr val="FFC1D3"/>
      </a:accent6>
      <a:hlink>
        <a:srgbClr val="00428E"/>
      </a:hlink>
      <a:folHlink>
        <a:srgbClr val="595959"/>
      </a:folHlink>
    </a:clrScheme>
    <a:fontScheme name="自訂 11">
      <a:majorFont>
        <a:latin typeface="Inter Bold"/>
        <a:ea typeface="Taipei Sans TC Beta"/>
        <a:cs typeface=""/>
      </a:majorFont>
      <a:minorFont>
        <a:latin typeface="Inter "/>
        <a:ea typeface="Taipei Sans TC Beta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rtlCol="0" anchor="ctr"/>
      <a:lstStyle>
        <a:defPPr algn="ctr">
          <a:defRPr kumimoji="1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Walrus_PPT" id="{8EFBB78E-7774-4EED-86B6-E67856620B9F}" vid="{FB1CB29A-F45E-47F1-9869-D2F492A8F93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CA96-DA8A-42E1-8E2B-9860B94AF229}">
  <dimension ref="A1:M122"/>
  <sheetViews>
    <sheetView tabSelected="1" workbookViewId="0">
      <selection activeCell="C8" sqref="C8"/>
    </sheetView>
  </sheetViews>
  <sheetFormatPr defaultRowHeight="17"/>
  <cols>
    <col min="1" max="1" width="15.90625" customWidth="1"/>
    <col min="2" max="2" width="11.7265625" customWidth="1"/>
    <col min="3" max="3" width="14.1796875" customWidth="1"/>
    <col min="4" max="4" width="14.6328125" customWidth="1"/>
    <col min="5" max="5" width="16.1796875" customWidth="1"/>
    <col min="6" max="6" width="15.7265625" customWidth="1"/>
    <col min="7" max="7" width="19.453125" customWidth="1"/>
    <col min="8" max="8" width="14.26953125" customWidth="1"/>
    <col min="9" max="9" width="16.81640625" customWidth="1"/>
    <col min="10" max="10" width="0" hidden="1" customWidth="1"/>
    <col min="11" max="11" width="16.81640625" customWidth="1"/>
    <col min="12" max="13" width="14.2695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</row>
    <row r="2" spans="1:13">
      <c r="A2" s="5">
        <v>46077</v>
      </c>
      <c r="B2" s="6">
        <v>0.6875</v>
      </c>
      <c r="C2" s="6" t="s">
        <v>13</v>
      </c>
      <c r="D2" s="7" t="s">
        <v>14</v>
      </c>
      <c r="E2" s="7">
        <v>202510001</v>
      </c>
      <c r="F2" s="7">
        <v>63.1</v>
      </c>
      <c r="G2" s="7">
        <v>62.6</v>
      </c>
      <c r="H2" s="8">
        <v>24</v>
      </c>
      <c r="I2" s="7">
        <v>6.13</v>
      </c>
      <c r="J2" s="7">
        <f>VLOOKUP(D2, [1]設備資料!$A:$E, 5, 0)</f>
        <v>2</v>
      </c>
      <c r="K2" s="7">
        <f t="shared" ref="K2:K65" si="0">IF(I2="", 0, IF(OR(I2=0, AND(J2=2, I2&gt;6.6), AND(J2=3, I2&gt;8.6), AND(J2=5, I2&gt;14.1)), 1, 0))</f>
        <v>0</v>
      </c>
      <c r="L2" s="8">
        <v>33.6</v>
      </c>
      <c r="M2" s="8"/>
    </row>
    <row r="3" spans="1:13">
      <c r="A3" s="9">
        <v>46077</v>
      </c>
      <c r="B3" s="10">
        <v>0.6875</v>
      </c>
      <c r="C3" s="10" t="s">
        <v>13</v>
      </c>
      <c r="D3" s="11" t="s">
        <v>15</v>
      </c>
      <c r="E3" s="11">
        <v>202510006</v>
      </c>
      <c r="F3" s="11">
        <v>58.4</v>
      </c>
      <c r="G3" s="11"/>
      <c r="H3" s="12">
        <v>24</v>
      </c>
      <c r="I3" s="11">
        <v>6.03</v>
      </c>
      <c r="J3" s="11">
        <f>VLOOKUP(D3, [1]設備資料!$A:$E, 5, 0)</f>
        <v>2</v>
      </c>
      <c r="K3" s="11">
        <f t="shared" si="0"/>
        <v>0</v>
      </c>
      <c r="L3" s="12">
        <v>33.6</v>
      </c>
      <c r="M3" s="12"/>
    </row>
    <row r="4" spans="1:13">
      <c r="A4" s="5">
        <v>46077</v>
      </c>
      <c r="B4" s="6">
        <v>0.6875</v>
      </c>
      <c r="C4" s="6" t="s">
        <v>13</v>
      </c>
      <c r="D4" s="7" t="s">
        <v>16</v>
      </c>
      <c r="E4" s="7">
        <v>202511011</v>
      </c>
      <c r="F4" s="7">
        <v>68.7</v>
      </c>
      <c r="G4" s="7">
        <v>69.8</v>
      </c>
      <c r="H4" s="8">
        <v>24</v>
      </c>
      <c r="I4" s="7">
        <v>8.06</v>
      </c>
      <c r="J4" s="7">
        <f>VLOOKUP(D4, [1]設備資料!$A:$E, 5, 0)</f>
        <v>3</v>
      </c>
      <c r="K4" s="7">
        <f t="shared" si="0"/>
        <v>0</v>
      </c>
      <c r="L4" s="8">
        <v>33.6</v>
      </c>
      <c r="M4" s="8"/>
    </row>
    <row r="5" spans="1:13">
      <c r="A5" s="9">
        <v>46077</v>
      </c>
      <c r="B5" s="10">
        <v>0.6875</v>
      </c>
      <c r="C5" s="10" t="s">
        <v>13</v>
      </c>
      <c r="D5" s="11" t="s">
        <v>17</v>
      </c>
      <c r="E5" s="11">
        <v>202511012</v>
      </c>
      <c r="F5" s="11">
        <v>68.599999999999994</v>
      </c>
      <c r="G5" s="11"/>
      <c r="H5" s="12">
        <v>24</v>
      </c>
      <c r="I5" s="11">
        <v>7.78</v>
      </c>
      <c r="J5" s="11">
        <f>VLOOKUP(D5, [1]設備資料!$A:$E, 5, 0)</f>
        <v>3</v>
      </c>
      <c r="K5" s="11">
        <f t="shared" si="0"/>
        <v>0</v>
      </c>
      <c r="L5" s="12">
        <v>33.6</v>
      </c>
      <c r="M5" s="12"/>
    </row>
    <row r="6" spans="1:13">
      <c r="A6" s="5">
        <v>46077</v>
      </c>
      <c r="B6" s="6">
        <v>0.6875</v>
      </c>
      <c r="C6" s="6" t="s">
        <v>13</v>
      </c>
      <c r="D6" s="7" t="s">
        <v>18</v>
      </c>
      <c r="E6" s="7">
        <v>202511001</v>
      </c>
      <c r="F6" s="7">
        <v>90.6</v>
      </c>
      <c r="G6" s="7">
        <v>91.5</v>
      </c>
      <c r="H6" s="8">
        <v>24</v>
      </c>
      <c r="I6" s="7">
        <v>13.62</v>
      </c>
      <c r="J6" s="7">
        <f>VLOOKUP(D6, [1]設備資料!$A:$E, 5, 0)</f>
        <v>5</v>
      </c>
      <c r="K6" s="7">
        <f t="shared" si="0"/>
        <v>0</v>
      </c>
      <c r="L6" s="8">
        <v>33.6</v>
      </c>
      <c r="M6" s="8"/>
    </row>
    <row r="7" spans="1:13">
      <c r="A7" s="9">
        <v>46077</v>
      </c>
      <c r="B7" s="10">
        <v>0.6875</v>
      </c>
      <c r="C7" s="10" t="s">
        <v>13</v>
      </c>
      <c r="D7" s="11" t="s">
        <v>19</v>
      </c>
      <c r="E7" s="11">
        <v>202511002</v>
      </c>
      <c r="F7" s="11">
        <v>86.8</v>
      </c>
      <c r="G7" s="11">
        <v>85.6</v>
      </c>
      <c r="H7" s="12">
        <v>24</v>
      </c>
      <c r="I7" s="11">
        <v>13.34</v>
      </c>
      <c r="J7" s="11">
        <f>VLOOKUP(D7, [1]設備資料!$A:$E, 5, 0)</f>
        <v>5</v>
      </c>
      <c r="K7" s="11">
        <f t="shared" si="0"/>
        <v>0</v>
      </c>
      <c r="L7" s="12">
        <v>33.6</v>
      </c>
      <c r="M7" s="12"/>
    </row>
    <row r="8" spans="1:13">
      <c r="A8" s="5">
        <v>46077</v>
      </c>
      <c r="B8" s="6">
        <v>0.69444444444444442</v>
      </c>
      <c r="C8" s="6" t="s">
        <v>20</v>
      </c>
      <c r="D8" s="7" t="s">
        <v>21</v>
      </c>
      <c r="E8" s="7">
        <v>202510024</v>
      </c>
      <c r="F8" s="7">
        <v>62.5</v>
      </c>
      <c r="G8" s="7">
        <v>62.3</v>
      </c>
      <c r="H8" s="8">
        <v>24</v>
      </c>
      <c r="I8" s="7">
        <v>6.17</v>
      </c>
      <c r="J8" s="7">
        <f>VLOOKUP(D8, [1]設備資料!$A:$E, 5, 0)</f>
        <v>2</v>
      </c>
      <c r="K8" s="7">
        <f t="shared" si="0"/>
        <v>0</v>
      </c>
      <c r="L8" s="8"/>
      <c r="M8" s="8">
        <v>33.200000000000003</v>
      </c>
    </row>
    <row r="9" spans="1:13">
      <c r="A9" s="9">
        <v>46077</v>
      </c>
      <c r="B9" s="10">
        <v>0.69444444444444442</v>
      </c>
      <c r="C9" s="10" t="s">
        <v>20</v>
      </c>
      <c r="D9" s="11" t="s">
        <v>22</v>
      </c>
      <c r="E9" s="11">
        <v>202510026</v>
      </c>
      <c r="F9" s="11">
        <v>65.8</v>
      </c>
      <c r="G9" s="11"/>
      <c r="H9" s="12">
        <v>24</v>
      </c>
      <c r="I9" s="11">
        <v>6.47</v>
      </c>
      <c r="J9" s="11">
        <f>VLOOKUP(D9, [1]設備資料!$A:$E, 5, 0)</f>
        <v>2</v>
      </c>
      <c r="K9" s="11">
        <f t="shared" si="0"/>
        <v>0</v>
      </c>
      <c r="L9" s="12"/>
      <c r="M9" s="12">
        <v>33.200000000000003</v>
      </c>
    </row>
    <row r="10" spans="1:13">
      <c r="A10" s="5">
        <v>46077</v>
      </c>
      <c r="B10" s="6">
        <v>0.69444444444444442</v>
      </c>
      <c r="C10" s="6" t="s">
        <v>20</v>
      </c>
      <c r="D10" s="7" t="s">
        <v>23</v>
      </c>
      <c r="E10" s="7">
        <v>202511017</v>
      </c>
      <c r="F10" s="7">
        <v>68.2</v>
      </c>
      <c r="G10" s="7">
        <v>68.5</v>
      </c>
      <c r="H10" s="8">
        <v>24</v>
      </c>
      <c r="I10" s="7">
        <v>7.85</v>
      </c>
      <c r="J10" s="7">
        <f>VLOOKUP(D10, [1]設備資料!$A:$E, 5, 0)</f>
        <v>3</v>
      </c>
      <c r="K10" s="7">
        <f t="shared" si="0"/>
        <v>0</v>
      </c>
      <c r="L10" s="8"/>
      <c r="M10" s="8">
        <v>33.200000000000003</v>
      </c>
    </row>
    <row r="11" spans="1:13">
      <c r="A11" s="9">
        <v>46077</v>
      </c>
      <c r="B11" s="10">
        <v>0.69444444444444442</v>
      </c>
      <c r="C11" s="10" t="s">
        <v>20</v>
      </c>
      <c r="D11" s="11" t="s">
        <v>24</v>
      </c>
      <c r="E11" s="11">
        <v>202511005</v>
      </c>
      <c r="F11" s="11">
        <v>90.3</v>
      </c>
      <c r="G11" s="11">
        <v>89.4</v>
      </c>
      <c r="H11" s="12">
        <v>24</v>
      </c>
      <c r="I11" s="11">
        <v>13.35</v>
      </c>
      <c r="J11" s="11">
        <f>VLOOKUP(D11, [1]設備資料!$A:$E, 5, 0)</f>
        <v>5</v>
      </c>
      <c r="K11" s="11">
        <f t="shared" si="0"/>
        <v>0</v>
      </c>
      <c r="L11" s="12"/>
      <c r="M11" s="12">
        <v>33.200000000000003</v>
      </c>
    </row>
    <row r="12" spans="1:13">
      <c r="A12" s="5">
        <v>46077</v>
      </c>
      <c r="B12" s="6">
        <v>0.69444444444444442</v>
      </c>
      <c r="C12" s="6" t="s">
        <v>20</v>
      </c>
      <c r="D12" s="7" t="s">
        <v>25</v>
      </c>
      <c r="E12" s="7" t="s">
        <v>26</v>
      </c>
      <c r="F12" s="7">
        <v>90.4</v>
      </c>
      <c r="G12" s="7">
        <v>96.1</v>
      </c>
      <c r="H12" s="8">
        <v>24</v>
      </c>
      <c r="I12" s="7">
        <v>13.29</v>
      </c>
      <c r="J12" s="7">
        <f>VLOOKUP(D12, [1]設備資料!$A:$E, 5, 0)</f>
        <v>5</v>
      </c>
      <c r="K12" s="7">
        <f t="shared" si="0"/>
        <v>0</v>
      </c>
      <c r="L12" s="8"/>
      <c r="M12" s="8">
        <v>33.200000000000003</v>
      </c>
    </row>
    <row r="13" spans="1:13">
      <c r="A13" s="9">
        <v>46078</v>
      </c>
      <c r="B13" s="10">
        <v>0.39583333333333331</v>
      </c>
      <c r="C13" s="10" t="s">
        <v>13</v>
      </c>
      <c r="D13" s="11" t="s">
        <v>14</v>
      </c>
      <c r="E13" s="11">
        <v>202510001</v>
      </c>
      <c r="F13" s="11">
        <v>75.099999999999994</v>
      </c>
      <c r="G13" s="11">
        <v>74.5</v>
      </c>
      <c r="H13" s="12">
        <v>25</v>
      </c>
      <c r="I13" s="11">
        <v>6.03</v>
      </c>
      <c r="J13" s="11">
        <f>VLOOKUP(D13, [1]設備資料!$A:$E, 5, 0)</f>
        <v>2</v>
      </c>
      <c r="K13" s="11">
        <f t="shared" si="0"/>
        <v>0</v>
      </c>
      <c r="L13" s="12">
        <v>44.8</v>
      </c>
      <c r="M13" s="12"/>
    </row>
    <row r="14" spans="1:13">
      <c r="A14" s="5">
        <v>46078</v>
      </c>
      <c r="B14" s="6">
        <v>0.39583333333333331</v>
      </c>
      <c r="C14" s="6" t="s">
        <v>13</v>
      </c>
      <c r="D14" s="7" t="s">
        <v>15</v>
      </c>
      <c r="E14" s="7">
        <v>202510006</v>
      </c>
      <c r="F14" s="7">
        <v>71.2</v>
      </c>
      <c r="G14" s="7"/>
      <c r="H14" s="8">
        <v>25</v>
      </c>
      <c r="I14" s="7">
        <v>5.78</v>
      </c>
      <c r="J14" s="7">
        <f>VLOOKUP(D14, [1]設備資料!$A:$E, 5, 0)</f>
        <v>2</v>
      </c>
      <c r="K14" s="7">
        <f t="shared" si="0"/>
        <v>0</v>
      </c>
      <c r="L14" s="8">
        <v>44.8</v>
      </c>
      <c r="M14" s="8"/>
    </row>
    <row r="15" spans="1:13">
      <c r="A15" s="9">
        <v>46078</v>
      </c>
      <c r="B15" s="10">
        <v>0.39583333333333331</v>
      </c>
      <c r="C15" s="10" t="s">
        <v>13</v>
      </c>
      <c r="D15" s="11" t="s">
        <v>16</v>
      </c>
      <c r="E15" s="11">
        <v>202511011</v>
      </c>
      <c r="F15" s="11">
        <v>81.099999999999994</v>
      </c>
      <c r="G15" s="11">
        <v>81.900000000000006</v>
      </c>
      <c r="H15" s="12">
        <v>25</v>
      </c>
      <c r="I15" s="11">
        <v>7.86</v>
      </c>
      <c r="J15" s="11">
        <f>VLOOKUP(D15, [1]設備資料!$A:$E, 5, 0)</f>
        <v>3</v>
      </c>
      <c r="K15" s="11">
        <f t="shared" si="0"/>
        <v>0</v>
      </c>
      <c r="L15" s="12">
        <v>44.8</v>
      </c>
      <c r="M15" s="12"/>
    </row>
    <row r="16" spans="1:13">
      <c r="A16" s="5">
        <v>46078</v>
      </c>
      <c r="B16" s="6">
        <v>0.39583333333333331</v>
      </c>
      <c r="C16" s="6" t="s">
        <v>13</v>
      </c>
      <c r="D16" s="7" t="s">
        <v>17</v>
      </c>
      <c r="E16" s="7">
        <v>202511012</v>
      </c>
      <c r="F16" s="7">
        <v>80.400000000000006</v>
      </c>
      <c r="G16" s="7"/>
      <c r="H16" s="8">
        <v>25</v>
      </c>
      <c r="I16" s="7">
        <v>7.82</v>
      </c>
      <c r="J16" s="7">
        <f>VLOOKUP(D16, [1]設備資料!$A:$E, 5, 0)</f>
        <v>3</v>
      </c>
      <c r="K16" s="7">
        <f t="shared" si="0"/>
        <v>0</v>
      </c>
      <c r="L16" s="8">
        <v>44.8</v>
      </c>
      <c r="M16" s="8"/>
    </row>
    <row r="17" spans="1:13">
      <c r="A17" s="9">
        <v>46078</v>
      </c>
      <c r="B17" s="10">
        <v>0.39583333333333331</v>
      </c>
      <c r="C17" s="10" t="s">
        <v>13</v>
      </c>
      <c r="D17" s="11" t="s">
        <v>18</v>
      </c>
      <c r="E17" s="11">
        <v>202511001</v>
      </c>
      <c r="F17" s="11">
        <v>102.1</v>
      </c>
      <c r="G17" s="11">
        <v>102.3</v>
      </c>
      <c r="H17" s="12">
        <v>25</v>
      </c>
      <c r="I17" s="11">
        <v>13.64</v>
      </c>
      <c r="J17" s="11">
        <f>VLOOKUP(D17, [1]設備資料!$A:$E, 5, 0)</f>
        <v>5</v>
      </c>
      <c r="K17" s="11">
        <f t="shared" si="0"/>
        <v>0</v>
      </c>
      <c r="L17" s="12">
        <v>44.8</v>
      </c>
      <c r="M17" s="12"/>
    </row>
    <row r="18" spans="1:13">
      <c r="A18" s="5">
        <v>46078</v>
      </c>
      <c r="B18" s="6">
        <v>0.39583333333333331</v>
      </c>
      <c r="C18" s="6" t="s">
        <v>13</v>
      </c>
      <c r="D18" s="7" t="s">
        <v>19</v>
      </c>
      <c r="E18" s="7">
        <v>202511002</v>
      </c>
      <c r="F18" s="7">
        <v>98.2</v>
      </c>
      <c r="G18" s="7">
        <v>96.5</v>
      </c>
      <c r="H18" s="8">
        <v>25</v>
      </c>
      <c r="I18" s="7">
        <v>13.32</v>
      </c>
      <c r="J18" s="7">
        <f>VLOOKUP(D18, [1]設備資料!$A:$E, 5, 0)</f>
        <v>5</v>
      </c>
      <c r="K18" s="7">
        <f t="shared" si="0"/>
        <v>0</v>
      </c>
      <c r="L18" s="8">
        <v>44.8</v>
      </c>
      <c r="M18" s="8"/>
    </row>
    <row r="19" spans="1:13">
      <c r="A19" s="9">
        <v>46078</v>
      </c>
      <c r="B19" s="10">
        <v>0.40277777777777779</v>
      </c>
      <c r="C19" s="10" t="s">
        <v>20</v>
      </c>
      <c r="D19" s="11" t="s">
        <v>21</v>
      </c>
      <c r="E19" s="11">
        <v>202510024</v>
      </c>
      <c r="F19" s="11">
        <v>74.5</v>
      </c>
      <c r="G19" s="11">
        <v>74.3</v>
      </c>
      <c r="H19" s="12">
        <v>25</v>
      </c>
      <c r="I19" s="11">
        <v>6.04</v>
      </c>
      <c r="J19" s="11">
        <f>VLOOKUP(D19, [1]設備資料!$A:$E, 5, 0)</f>
        <v>2</v>
      </c>
      <c r="K19" s="11">
        <f t="shared" si="0"/>
        <v>0</v>
      </c>
      <c r="L19" s="12"/>
      <c r="M19" s="12">
        <v>43.8</v>
      </c>
    </row>
    <row r="20" spans="1:13">
      <c r="A20" s="5">
        <v>46078</v>
      </c>
      <c r="B20" s="6">
        <v>0.40277777777777779</v>
      </c>
      <c r="C20" s="6" t="s">
        <v>20</v>
      </c>
      <c r="D20" s="7" t="s">
        <v>22</v>
      </c>
      <c r="E20" s="7">
        <v>202510026</v>
      </c>
      <c r="F20" s="7">
        <v>77.8</v>
      </c>
      <c r="G20" s="7"/>
      <c r="H20" s="8">
        <v>25</v>
      </c>
      <c r="I20" s="7">
        <v>6.08</v>
      </c>
      <c r="J20" s="7">
        <f>VLOOKUP(D20, [1]設備資料!$A:$E, 5, 0)</f>
        <v>2</v>
      </c>
      <c r="K20" s="7">
        <f t="shared" si="0"/>
        <v>0</v>
      </c>
      <c r="L20" s="8"/>
      <c r="M20" s="8">
        <v>43.8</v>
      </c>
    </row>
    <row r="21" spans="1:13">
      <c r="A21" s="9">
        <v>46078</v>
      </c>
      <c r="B21" s="10">
        <v>0.40277777777777779</v>
      </c>
      <c r="C21" s="10" t="s">
        <v>20</v>
      </c>
      <c r="D21" s="11" t="s">
        <v>23</v>
      </c>
      <c r="E21" s="11">
        <v>202511017</v>
      </c>
      <c r="F21" s="11">
        <v>80.2</v>
      </c>
      <c r="G21" s="11">
        <v>80.900000000000006</v>
      </c>
      <c r="H21" s="12">
        <v>25</v>
      </c>
      <c r="I21" s="11">
        <v>7.55</v>
      </c>
      <c r="J21" s="11">
        <f>VLOOKUP(D21, [1]設備資料!$A:$E, 5, 0)</f>
        <v>3</v>
      </c>
      <c r="K21" s="11">
        <f t="shared" si="0"/>
        <v>0</v>
      </c>
      <c r="L21" s="12"/>
      <c r="M21" s="12">
        <v>43.8</v>
      </c>
    </row>
    <row r="22" spans="1:13">
      <c r="A22" s="5">
        <v>46078</v>
      </c>
      <c r="B22" s="6">
        <v>0.40277777777777779</v>
      </c>
      <c r="C22" s="6" t="s">
        <v>20</v>
      </c>
      <c r="D22" s="7" t="s">
        <v>24</v>
      </c>
      <c r="E22" s="7">
        <v>202511005</v>
      </c>
      <c r="F22" s="7">
        <v>102.3</v>
      </c>
      <c r="G22" s="7">
        <v>101.4</v>
      </c>
      <c r="H22" s="8">
        <v>25</v>
      </c>
      <c r="I22" s="7">
        <v>13.31</v>
      </c>
      <c r="J22" s="7">
        <f>VLOOKUP(D22, [1]設備資料!$A:$E, 5, 0)</f>
        <v>5</v>
      </c>
      <c r="K22" s="7">
        <f t="shared" si="0"/>
        <v>0</v>
      </c>
      <c r="L22" s="8"/>
      <c r="M22" s="8">
        <v>43.8</v>
      </c>
    </row>
    <row r="23" spans="1:13">
      <c r="A23" s="9">
        <v>46078</v>
      </c>
      <c r="B23" s="10">
        <v>0.40277777777777779</v>
      </c>
      <c r="C23" s="10" t="s">
        <v>20</v>
      </c>
      <c r="D23" s="11" t="s">
        <v>25</v>
      </c>
      <c r="E23" s="11" t="s">
        <v>26</v>
      </c>
      <c r="F23" s="11">
        <v>102.4</v>
      </c>
      <c r="G23" s="11">
        <v>97.2</v>
      </c>
      <c r="H23" s="12">
        <v>25</v>
      </c>
      <c r="I23" s="11">
        <v>13.23</v>
      </c>
      <c r="J23" s="11">
        <f>VLOOKUP(D23, [1]設備資料!$A:$E, 5, 0)</f>
        <v>5</v>
      </c>
      <c r="K23" s="11">
        <f t="shared" si="0"/>
        <v>0</v>
      </c>
      <c r="L23" s="12"/>
      <c r="M23" s="12">
        <v>43.8</v>
      </c>
    </row>
    <row r="24" spans="1:13">
      <c r="A24" s="5">
        <v>46078</v>
      </c>
      <c r="B24" s="6">
        <v>0.6875</v>
      </c>
      <c r="C24" s="6" t="s">
        <v>13</v>
      </c>
      <c r="D24" s="7" t="s">
        <v>14</v>
      </c>
      <c r="E24" s="7">
        <v>202510001</v>
      </c>
      <c r="F24" s="7">
        <v>75.599999999999994</v>
      </c>
      <c r="G24" s="7">
        <v>74.900000000000006</v>
      </c>
      <c r="H24" s="8">
        <v>27</v>
      </c>
      <c r="I24" s="7"/>
      <c r="J24" s="7">
        <f>VLOOKUP(D24, [1]設備資料!$A:$E, 5, 0)</f>
        <v>2</v>
      </c>
      <c r="K24" s="7">
        <f t="shared" si="0"/>
        <v>0</v>
      </c>
      <c r="L24" s="8">
        <v>45.1</v>
      </c>
      <c r="M24" s="8"/>
    </row>
    <row r="25" spans="1:13">
      <c r="A25" s="9">
        <v>46078</v>
      </c>
      <c r="B25" s="10">
        <v>0.6875</v>
      </c>
      <c r="C25" s="10" t="s">
        <v>13</v>
      </c>
      <c r="D25" s="11" t="s">
        <v>15</v>
      </c>
      <c r="E25" s="11">
        <v>202510006</v>
      </c>
      <c r="F25" s="11">
        <v>71.400000000000006</v>
      </c>
      <c r="G25" s="11"/>
      <c r="H25" s="12">
        <v>27</v>
      </c>
      <c r="I25" s="11"/>
      <c r="J25" s="11">
        <f>VLOOKUP(D25, [1]設備資料!$A:$E, 5, 0)</f>
        <v>2</v>
      </c>
      <c r="K25" s="11">
        <f t="shared" si="0"/>
        <v>0</v>
      </c>
      <c r="L25" s="12">
        <v>45.1</v>
      </c>
      <c r="M25" s="12"/>
    </row>
    <row r="26" spans="1:13">
      <c r="A26" s="5">
        <v>46078</v>
      </c>
      <c r="B26" s="6">
        <v>0.6875</v>
      </c>
      <c r="C26" s="6" t="s">
        <v>13</v>
      </c>
      <c r="D26" s="7" t="s">
        <v>16</v>
      </c>
      <c r="E26" s="7">
        <v>202511011</v>
      </c>
      <c r="F26" s="7">
        <v>81.2</v>
      </c>
      <c r="G26" s="7">
        <v>82.5</v>
      </c>
      <c r="H26" s="8">
        <v>27</v>
      </c>
      <c r="I26" s="7"/>
      <c r="J26" s="7">
        <f>VLOOKUP(D26, [1]設備資料!$A:$E, 5, 0)</f>
        <v>3</v>
      </c>
      <c r="K26" s="7">
        <f t="shared" si="0"/>
        <v>0</v>
      </c>
      <c r="L26" s="8">
        <v>45.1</v>
      </c>
      <c r="M26" s="8"/>
    </row>
    <row r="27" spans="1:13">
      <c r="A27" s="9">
        <v>46078</v>
      </c>
      <c r="B27" s="10">
        <v>0.6875</v>
      </c>
      <c r="C27" s="10" t="s">
        <v>13</v>
      </c>
      <c r="D27" s="11" t="s">
        <v>17</v>
      </c>
      <c r="E27" s="11">
        <v>202511012</v>
      </c>
      <c r="F27" s="11">
        <v>80.900000000000006</v>
      </c>
      <c r="G27" s="11"/>
      <c r="H27" s="12">
        <v>27</v>
      </c>
      <c r="I27" s="11"/>
      <c r="J27" s="11">
        <f>VLOOKUP(D27, [1]設備資料!$A:$E, 5, 0)</f>
        <v>3</v>
      </c>
      <c r="K27" s="11">
        <f t="shared" si="0"/>
        <v>0</v>
      </c>
      <c r="L27" s="12">
        <v>45.1</v>
      </c>
      <c r="M27" s="12"/>
    </row>
    <row r="28" spans="1:13">
      <c r="A28" s="5">
        <v>46078</v>
      </c>
      <c r="B28" s="6">
        <v>0.6875</v>
      </c>
      <c r="C28" s="6" t="s">
        <v>13</v>
      </c>
      <c r="D28" s="7" t="s">
        <v>18</v>
      </c>
      <c r="E28" s="7">
        <v>202511001</v>
      </c>
      <c r="F28" s="7">
        <v>103.1</v>
      </c>
      <c r="G28" s="7">
        <v>101.8</v>
      </c>
      <c r="H28" s="8">
        <v>27</v>
      </c>
      <c r="I28" s="7"/>
      <c r="J28" s="7">
        <f>VLOOKUP(D28, [1]設備資料!$A:$E, 5, 0)</f>
        <v>5</v>
      </c>
      <c r="K28" s="7">
        <f t="shared" si="0"/>
        <v>0</v>
      </c>
      <c r="L28" s="8">
        <v>45.1</v>
      </c>
      <c r="M28" s="8"/>
    </row>
    <row r="29" spans="1:13">
      <c r="A29" s="9">
        <v>46078</v>
      </c>
      <c r="B29" s="10">
        <v>0.6875</v>
      </c>
      <c r="C29" s="10" t="s">
        <v>13</v>
      </c>
      <c r="D29" s="11" t="s">
        <v>19</v>
      </c>
      <c r="E29" s="11">
        <v>202511002</v>
      </c>
      <c r="F29" s="11">
        <v>98</v>
      </c>
      <c r="G29" s="11">
        <v>97.2</v>
      </c>
      <c r="H29" s="12">
        <v>27</v>
      </c>
      <c r="I29" s="11"/>
      <c r="J29" s="11">
        <f>VLOOKUP(D29, [1]設備資料!$A:$E, 5, 0)</f>
        <v>5</v>
      </c>
      <c r="K29" s="11">
        <f t="shared" si="0"/>
        <v>0</v>
      </c>
      <c r="L29" s="12">
        <v>45.1</v>
      </c>
      <c r="M29" s="12"/>
    </row>
    <row r="30" spans="1:13">
      <c r="A30" s="5">
        <v>46078</v>
      </c>
      <c r="B30" s="6">
        <v>0.69444444444444442</v>
      </c>
      <c r="C30" s="6" t="s">
        <v>20</v>
      </c>
      <c r="D30" s="7" t="s">
        <v>21</v>
      </c>
      <c r="E30" s="7">
        <v>202510024</v>
      </c>
      <c r="F30" s="7">
        <v>74.7</v>
      </c>
      <c r="G30" s="7">
        <v>74.7</v>
      </c>
      <c r="H30" s="8">
        <v>27</v>
      </c>
      <c r="I30" s="7"/>
      <c r="J30" s="7">
        <f>VLOOKUP(D30, [1]設備資料!$A:$E, 5, 0)</f>
        <v>2</v>
      </c>
      <c r="K30" s="7">
        <f t="shared" si="0"/>
        <v>0</v>
      </c>
      <c r="L30" s="8"/>
      <c r="M30" s="8">
        <v>44.2</v>
      </c>
    </row>
    <row r="31" spans="1:13">
      <c r="A31" s="9">
        <v>46078</v>
      </c>
      <c r="B31" s="10">
        <v>0.69444444444444442</v>
      </c>
      <c r="C31" s="10" t="s">
        <v>20</v>
      </c>
      <c r="D31" s="11" t="s">
        <v>22</v>
      </c>
      <c r="E31" s="11">
        <v>202510026</v>
      </c>
      <c r="F31" s="11">
        <v>78</v>
      </c>
      <c r="G31" s="11"/>
      <c r="H31" s="12">
        <v>27</v>
      </c>
      <c r="I31" s="11"/>
      <c r="J31" s="11">
        <f>VLOOKUP(D31, [1]設備資料!$A:$E, 5, 0)</f>
        <v>2</v>
      </c>
      <c r="K31" s="11">
        <f t="shared" si="0"/>
        <v>0</v>
      </c>
      <c r="L31" s="12"/>
      <c r="M31" s="12">
        <v>44.2</v>
      </c>
    </row>
    <row r="32" spans="1:13">
      <c r="A32" s="5">
        <v>46078</v>
      </c>
      <c r="B32" s="6">
        <v>0.69444444444444442</v>
      </c>
      <c r="C32" s="6" t="s">
        <v>20</v>
      </c>
      <c r="D32" s="7" t="s">
        <v>23</v>
      </c>
      <c r="E32" s="7">
        <v>202511017</v>
      </c>
      <c r="F32" s="7">
        <v>81.2</v>
      </c>
      <c r="G32" s="7">
        <v>81</v>
      </c>
      <c r="H32" s="8">
        <v>27</v>
      </c>
      <c r="I32" s="7"/>
      <c r="J32" s="7">
        <f>VLOOKUP(D32, [1]設備資料!$A:$E, 5, 0)</f>
        <v>3</v>
      </c>
      <c r="K32" s="7">
        <f t="shared" si="0"/>
        <v>0</v>
      </c>
      <c r="L32" s="8"/>
      <c r="M32" s="8">
        <v>44.2</v>
      </c>
    </row>
    <row r="33" spans="1:13">
      <c r="A33" s="9">
        <v>46078</v>
      </c>
      <c r="B33" s="10">
        <v>0.69444444444444442</v>
      </c>
      <c r="C33" s="10" t="s">
        <v>20</v>
      </c>
      <c r="D33" s="11" t="s">
        <v>24</v>
      </c>
      <c r="E33" s="11">
        <v>202511005</v>
      </c>
      <c r="F33" s="11">
        <v>101.7</v>
      </c>
      <c r="G33" s="11">
        <v>97</v>
      </c>
      <c r="H33" s="12">
        <v>27</v>
      </c>
      <c r="I33" s="11"/>
      <c r="J33" s="11">
        <f>VLOOKUP(D33, [1]設備資料!$A:$E, 5, 0)</f>
        <v>5</v>
      </c>
      <c r="K33" s="11">
        <f t="shared" si="0"/>
        <v>0</v>
      </c>
      <c r="L33" s="12"/>
      <c r="M33" s="12">
        <v>44.2</v>
      </c>
    </row>
    <row r="34" spans="1:13">
      <c r="A34" s="5">
        <v>46078</v>
      </c>
      <c r="B34" s="6">
        <v>0.69444444444444442</v>
      </c>
      <c r="C34" s="6" t="s">
        <v>20</v>
      </c>
      <c r="D34" s="7" t="s">
        <v>25</v>
      </c>
      <c r="E34" s="7" t="s">
        <v>26</v>
      </c>
      <c r="F34" s="7">
        <v>103.7</v>
      </c>
      <c r="G34" s="7">
        <v>97.5</v>
      </c>
      <c r="H34" s="8">
        <v>27</v>
      </c>
      <c r="I34" s="7"/>
      <c r="J34" s="7">
        <f>VLOOKUP(D34, [1]設備資料!$A:$E, 5, 0)</f>
        <v>5</v>
      </c>
      <c r="K34" s="7">
        <f t="shared" si="0"/>
        <v>0</v>
      </c>
      <c r="L34" s="8"/>
      <c r="M34" s="8">
        <v>44.2</v>
      </c>
    </row>
    <row r="35" spans="1:13">
      <c r="A35" s="9">
        <v>46079</v>
      </c>
      <c r="B35" s="10">
        <v>0.39583333333333331</v>
      </c>
      <c r="C35" s="10" t="s">
        <v>13</v>
      </c>
      <c r="D35" s="11" t="s">
        <v>14</v>
      </c>
      <c r="E35" s="11">
        <v>202510001</v>
      </c>
      <c r="F35" s="11">
        <v>78</v>
      </c>
      <c r="G35" s="11">
        <v>77.400000000000006</v>
      </c>
      <c r="H35" s="12">
        <v>23</v>
      </c>
      <c r="I35" s="11">
        <v>6.12</v>
      </c>
      <c r="J35" s="11">
        <f>VLOOKUP(D35, [1]設備資料!$A:$E, 5, 0)</f>
        <v>2</v>
      </c>
      <c r="K35" s="11">
        <f t="shared" si="0"/>
        <v>0</v>
      </c>
      <c r="L35" s="12">
        <v>47.2</v>
      </c>
      <c r="M35" s="12"/>
    </row>
    <row r="36" spans="1:13">
      <c r="A36" s="5">
        <v>46079</v>
      </c>
      <c r="B36" s="6">
        <v>0.39583333333333331</v>
      </c>
      <c r="C36" s="6" t="s">
        <v>13</v>
      </c>
      <c r="D36" s="7" t="s">
        <v>15</v>
      </c>
      <c r="E36" s="7">
        <v>202510006</v>
      </c>
      <c r="F36" s="7">
        <v>73.599999999999994</v>
      </c>
      <c r="G36" s="7"/>
      <c r="H36" s="8">
        <v>23</v>
      </c>
      <c r="I36" s="7">
        <v>5.98</v>
      </c>
      <c r="J36" s="7">
        <f>VLOOKUP(D36, [1]設備資料!$A:$E, 5, 0)</f>
        <v>2</v>
      </c>
      <c r="K36" s="7">
        <f t="shared" si="0"/>
        <v>0</v>
      </c>
      <c r="L36" s="8">
        <v>47.2</v>
      </c>
      <c r="M36" s="8"/>
    </row>
    <row r="37" spans="1:13">
      <c r="A37" s="9">
        <v>46079</v>
      </c>
      <c r="B37" s="10">
        <v>0.39583333333333331</v>
      </c>
      <c r="C37" s="10" t="s">
        <v>13</v>
      </c>
      <c r="D37" s="11" t="s">
        <v>16</v>
      </c>
      <c r="E37" s="11">
        <v>202511011</v>
      </c>
      <c r="F37" s="11">
        <v>85</v>
      </c>
      <c r="G37" s="11">
        <v>84</v>
      </c>
      <c r="H37" s="12">
        <v>23</v>
      </c>
      <c r="I37" s="11">
        <v>7.89</v>
      </c>
      <c r="J37" s="11">
        <f>VLOOKUP(D37, [1]設備資料!$A:$E, 5, 0)</f>
        <v>3</v>
      </c>
      <c r="K37" s="11">
        <f t="shared" si="0"/>
        <v>0</v>
      </c>
      <c r="L37" s="12">
        <v>47.2</v>
      </c>
      <c r="M37" s="12"/>
    </row>
    <row r="38" spans="1:13">
      <c r="A38" s="5">
        <v>46079</v>
      </c>
      <c r="B38" s="6">
        <v>0.39583333333333331</v>
      </c>
      <c r="C38" s="6" t="s">
        <v>13</v>
      </c>
      <c r="D38" s="7" t="s">
        <v>17</v>
      </c>
      <c r="E38" s="7">
        <v>202511012</v>
      </c>
      <c r="F38" s="7">
        <v>83.5</v>
      </c>
      <c r="G38" s="7"/>
      <c r="H38" s="8">
        <v>23</v>
      </c>
      <c r="I38" s="7">
        <v>7.92</v>
      </c>
      <c r="J38" s="7">
        <f>VLOOKUP(D38, [1]設備資料!$A:$E, 5, 0)</f>
        <v>3</v>
      </c>
      <c r="K38" s="7">
        <f t="shared" si="0"/>
        <v>0</v>
      </c>
      <c r="L38" s="8">
        <v>47.2</v>
      </c>
      <c r="M38" s="8"/>
    </row>
    <row r="39" spans="1:13">
      <c r="A39" s="9">
        <v>46079</v>
      </c>
      <c r="B39" s="10">
        <v>0.39583333333333331</v>
      </c>
      <c r="C39" s="10" t="s">
        <v>13</v>
      </c>
      <c r="D39" s="11" t="s">
        <v>18</v>
      </c>
      <c r="E39" s="11">
        <v>202511001</v>
      </c>
      <c r="F39" s="11">
        <v>105.7</v>
      </c>
      <c r="G39" s="11">
        <v>104.7</v>
      </c>
      <c r="H39" s="12">
        <v>23</v>
      </c>
      <c r="I39" s="11">
        <v>13.75</v>
      </c>
      <c r="J39" s="11">
        <f>VLOOKUP(D39, [1]設備資料!$A:$E, 5, 0)</f>
        <v>5</v>
      </c>
      <c r="K39" s="11">
        <f t="shared" si="0"/>
        <v>0</v>
      </c>
      <c r="L39" s="12">
        <v>47.2</v>
      </c>
      <c r="M39" s="12"/>
    </row>
    <row r="40" spans="1:13">
      <c r="A40" s="5">
        <v>46079</v>
      </c>
      <c r="B40" s="6">
        <v>0.39583333333333331</v>
      </c>
      <c r="C40" s="6" t="s">
        <v>13</v>
      </c>
      <c r="D40" s="7" t="s">
        <v>19</v>
      </c>
      <c r="E40" s="7">
        <v>202511002</v>
      </c>
      <c r="F40" s="7">
        <v>100.7</v>
      </c>
      <c r="G40" s="7">
        <v>99.8</v>
      </c>
      <c r="H40" s="8">
        <v>23</v>
      </c>
      <c r="I40" s="7">
        <v>13.45</v>
      </c>
      <c r="J40" s="7">
        <f>VLOOKUP(D40, [1]設備資料!$A:$E, 5, 0)</f>
        <v>5</v>
      </c>
      <c r="K40" s="7">
        <f t="shared" si="0"/>
        <v>0</v>
      </c>
      <c r="L40" s="8">
        <v>47.2</v>
      </c>
      <c r="M40" s="8"/>
    </row>
    <row r="41" spans="1:13">
      <c r="A41" s="9">
        <v>46079</v>
      </c>
      <c r="B41" s="10">
        <v>0.40277777777777779</v>
      </c>
      <c r="C41" s="10" t="s">
        <v>20</v>
      </c>
      <c r="D41" s="11" t="s">
        <v>21</v>
      </c>
      <c r="E41" s="11">
        <v>202510024</v>
      </c>
      <c r="F41" s="11">
        <v>77.3</v>
      </c>
      <c r="G41" s="11">
        <v>77.2</v>
      </c>
      <c r="H41" s="12">
        <v>23</v>
      </c>
      <c r="I41" s="11">
        <v>6.38</v>
      </c>
      <c r="J41" s="11">
        <f>VLOOKUP(D41, [1]設備資料!$A:$E, 5, 0)</f>
        <v>2</v>
      </c>
      <c r="K41" s="11">
        <f t="shared" si="0"/>
        <v>0</v>
      </c>
      <c r="L41" s="12"/>
      <c r="M41" s="12">
        <v>46.2</v>
      </c>
    </row>
    <row r="42" spans="1:13">
      <c r="A42" s="5">
        <v>46079</v>
      </c>
      <c r="B42" s="6">
        <v>0.40277777777777779</v>
      </c>
      <c r="C42" s="6" t="s">
        <v>20</v>
      </c>
      <c r="D42" s="7" t="s">
        <v>22</v>
      </c>
      <c r="E42" s="7">
        <v>202510026</v>
      </c>
      <c r="F42" s="7">
        <v>81.099999999999994</v>
      </c>
      <c r="G42" s="7"/>
      <c r="H42" s="8">
        <v>23</v>
      </c>
      <c r="I42" s="7">
        <v>6.22</v>
      </c>
      <c r="J42" s="7">
        <f>VLOOKUP(D42, [1]設備資料!$A:$E, 5, 0)</f>
        <v>2</v>
      </c>
      <c r="K42" s="7">
        <f t="shared" si="0"/>
        <v>0</v>
      </c>
      <c r="L42" s="8"/>
      <c r="M42" s="8">
        <v>46.2</v>
      </c>
    </row>
    <row r="43" spans="1:13">
      <c r="A43" s="9">
        <v>46079</v>
      </c>
      <c r="B43" s="10">
        <v>0.40277777777777779</v>
      </c>
      <c r="C43" s="10" t="s">
        <v>20</v>
      </c>
      <c r="D43" s="11" t="s">
        <v>23</v>
      </c>
      <c r="E43" s="11">
        <v>202511017</v>
      </c>
      <c r="F43" s="11">
        <v>83.7</v>
      </c>
      <c r="G43" s="11">
        <v>81.2</v>
      </c>
      <c r="H43" s="12">
        <v>23</v>
      </c>
      <c r="I43" s="11">
        <v>8.0500000000000007</v>
      </c>
      <c r="J43" s="11">
        <f>VLOOKUP(D43, [1]設備資料!$A:$E, 5, 0)</f>
        <v>3</v>
      </c>
      <c r="K43" s="11">
        <f t="shared" si="0"/>
        <v>0</v>
      </c>
      <c r="L43" s="12"/>
      <c r="M43" s="12">
        <v>46.2</v>
      </c>
    </row>
    <row r="44" spans="1:13">
      <c r="A44" s="5">
        <v>46079</v>
      </c>
      <c r="B44" s="6">
        <v>0.40277777777777779</v>
      </c>
      <c r="C44" s="6" t="s">
        <v>20</v>
      </c>
      <c r="D44" s="7" t="s">
        <v>24</v>
      </c>
      <c r="E44" s="7">
        <v>202511005</v>
      </c>
      <c r="F44" s="7">
        <v>104.7</v>
      </c>
      <c r="G44" s="7">
        <v>100</v>
      </c>
      <c r="H44" s="8">
        <v>23</v>
      </c>
      <c r="I44" s="7">
        <v>13.62</v>
      </c>
      <c r="J44" s="7">
        <f>VLOOKUP(D44, [1]設備資料!$A:$E, 5, 0)</f>
        <v>5</v>
      </c>
      <c r="K44" s="7">
        <f t="shared" si="0"/>
        <v>0</v>
      </c>
      <c r="L44" s="8"/>
      <c r="M44" s="8">
        <v>46.2</v>
      </c>
    </row>
    <row r="45" spans="1:13">
      <c r="A45" s="9">
        <v>46079</v>
      </c>
      <c r="B45" s="10">
        <v>0.40277777777777779</v>
      </c>
      <c r="C45" s="10" t="s">
        <v>20</v>
      </c>
      <c r="D45" s="11" t="s">
        <v>25</v>
      </c>
      <c r="E45" s="11" t="s">
        <v>26</v>
      </c>
      <c r="F45" s="11">
        <v>108.4</v>
      </c>
      <c r="G45" s="11">
        <v>100.5</v>
      </c>
      <c r="H45" s="12">
        <v>23</v>
      </c>
      <c r="I45" s="11">
        <v>13.71</v>
      </c>
      <c r="J45" s="11">
        <f>VLOOKUP(D45, [1]設備資料!$A:$E, 5, 0)</f>
        <v>5</v>
      </c>
      <c r="K45" s="11">
        <f t="shared" si="0"/>
        <v>0</v>
      </c>
      <c r="L45" s="12"/>
      <c r="M45" s="12">
        <v>46.2</v>
      </c>
    </row>
    <row r="46" spans="1:13">
      <c r="A46" s="5">
        <v>46083</v>
      </c>
      <c r="B46" s="6">
        <v>0.39583333333333331</v>
      </c>
      <c r="C46" s="6" t="s">
        <v>13</v>
      </c>
      <c r="D46" s="7" t="s">
        <v>14</v>
      </c>
      <c r="E46" s="7">
        <v>202510001</v>
      </c>
      <c r="F46" s="7">
        <v>81.099999999999994</v>
      </c>
      <c r="G46" s="7"/>
      <c r="H46" s="8">
        <v>25</v>
      </c>
      <c r="I46" s="7"/>
      <c r="J46" s="7">
        <f>VLOOKUP(D46, [1]設備資料!$A:$E, 5, 0)</f>
        <v>2</v>
      </c>
      <c r="K46" s="7">
        <f t="shared" si="0"/>
        <v>0</v>
      </c>
      <c r="L46" s="8">
        <v>50.4</v>
      </c>
      <c r="M46" s="8"/>
    </row>
    <row r="47" spans="1:13">
      <c r="A47" s="9">
        <v>46083</v>
      </c>
      <c r="B47" s="10">
        <v>0.39583333333333331</v>
      </c>
      <c r="C47" s="10" t="s">
        <v>13</v>
      </c>
      <c r="D47" s="11" t="s">
        <v>15</v>
      </c>
      <c r="E47" s="11">
        <v>202510006</v>
      </c>
      <c r="F47" s="11">
        <v>76.5</v>
      </c>
      <c r="G47" s="11"/>
      <c r="H47" s="12">
        <v>25</v>
      </c>
      <c r="I47" s="11"/>
      <c r="J47" s="11">
        <f>VLOOKUP(D47, [1]設備資料!$A:$E, 5, 0)</f>
        <v>2</v>
      </c>
      <c r="K47" s="11">
        <f t="shared" si="0"/>
        <v>0</v>
      </c>
      <c r="L47" s="12">
        <v>50.4</v>
      </c>
      <c r="M47" s="12"/>
    </row>
    <row r="48" spans="1:13">
      <c r="A48" s="5">
        <v>46083</v>
      </c>
      <c r="B48" s="6">
        <v>0.39583333333333331</v>
      </c>
      <c r="C48" s="6" t="s">
        <v>13</v>
      </c>
      <c r="D48" s="7" t="s">
        <v>16</v>
      </c>
      <c r="E48" s="7">
        <v>202511011</v>
      </c>
      <c r="F48" s="7">
        <v>86.9</v>
      </c>
      <c r="G48" s="7"/>
      <c r="H48" s="8">
        <v>25</v>
      </c>
      <c r="I48" s="7"/>
      <c r="J48" s="7">
        <f>VLOOKUP(D48, [1]設備資料!$A:$E, 5, 0)</f>
        <v>3</v>
      </c>
      <c r="K48" s="7">
        <f t="shared" si="0"/>
        <v>0</v>
      </c>
      <c r="L48" s="8">
        <v>50.4</v>
      </c>
      <c r="M48" s="8"/>
    </row>
    <row r="49" spans="1:13">
      <c r="A49" s="9">
        <v>46083</v>
      </c>
      <c r="B49" s="10">
        <v>0.39583333333333331</v>
      </c>
      <c r="C49" s="10" t="s">
        <v>13</v>
      </c>
      <c r="D49" s="11" t="s">
        <v>17</v>
      </c>
      <c r="E49" s="11">
        <v>202511012</v>
      </c>
      <c r="F49" s="11">
        <v>85.8</v>
      </c>
      <c r="G49" s="11"/>
      <c r="H49" s="12">
        <v>25</v>
      </c>
      <c r="I49" s="11"/>
      <c r="J49" s="11">
        <f>VLOOKUP(D49, [1]設備資料!$A:$E, 5, 0)</f>
        <v>3</v>
      </c>
      <c r="K49" s="11">
        <f t="shared" si="0"/>
        <v>0</v>
      </c>
      <c r="L49" s="12">
        <v>50.4</v>
      </c>
      <c r="M49" s="12"/>
    </row>
    <row r="50" spans="1:13">
      <c r="A50" s="5">
        <v>46083</v>
      </c>
      <c r="B50" s="6">
        <v>0.39583333333333331</v>
      </c>
      <c r="C50" s="6" t="s">
        <v>13</v>
      </c>
      <c r="D50" s="7" t="s">
        <v>18</v>
      </c>
      <c r="E50" s="7">
        <v>202511001</v>
      </c>
      <c r="F50" s="7">
        <v>107.3</v>
      </c>
      <c r="G50" s="7"/>
      <c r="H50" s="8">
        <v>25</v>
      </c>
      <c r="I50" s="7"/>
      <c r="J50" s="7">
        <f>VLOOKUP(D50, [1]設備資料!$A:$E, 5, 0)</f>
        <v>5</v>
      </c>
      <c r="K50" s="7">
        <f t="shared" si="0"/>
        <v>0</v>
      </c>
      <c r="L50" s="8">
        <v>50.4</v>
      </c>
      <c r="M50" s="8"/>
    </row>
    <row r="51" spans="1:13">
      <c r="A51" s="9">
        <v>46083</v>
      </c>
      <c r="B51" s="10">
        <v>0.39583333333333331</v>
      </c>
      <c r="C51" s="10" t="s">
        <v>13</v>
      </c>
      <c r="D51" s="11" t="s">
        <v>19</v>
      </c>
      <c r="E51" s="11">
        <v>202511002</v>
      </c>
      <c r="F51" s="11">
        <v>103.8</v>
      </c>
      <c r="G51" s="11"/>
      <c r="H51" s="12">
        <v>25</v>
      </c>
      <c r="I51" s="11"/>
      <c r="J51" s="11">
        <f>VLOOKUP(D51, [1]設備資料!$A:$E, 5, 0)</f>
        <v>5</v>
      </c>
      <c r="K51" s="11">
        <f t="shared" si="0"/>
        <v>0</v>
      </c>
      <c r="L51" s="12">
        <v>50.4</v>
      </c>
      <c r="M51" s="12"/>
    </row>
    <row r="52" spans="1:13">
      <c r="A52" s="5">
        <v>46083</v>
      </c>
      <c r="B52" s="6">
        <v>0.40277777777777779</v>
      </c>
      <c r="C52" s="6" t="s">
        <v>20</v>
      </c>
      <c r="D52" s="7" t="s">
        <v>21</v>
      </c>
      <c r="E52" s="7">
        <v>202510024</v>
      </c>
      <c r="F52" s="7">
        <v>81</v>
      </c>
      <c r="G52" s="7"/>
      <c r="H52" s="8">
        <v>25</v>
      </c>
      <c r="I52" s="7"/>
      <c r="J52" s="7">
        <f>VLOOKUP(D52, [1]設備資料!$A:$E, 5, 0)</f>
        <v>2</v>
      </c>
      <c r="K52" s="7">
        <f t="shared" si="0"/>
        <v>0</v>
      </c>
      <c r="L52" s="8"/>
      <c r="M52" s="8">
        <v>49.6</v>
      </c>
    </row>
    <row r="53" spans="1:13">
      <c r="A53" s="9">
        <v>46083</v>
      </c>
      <c r="B53" s="10">
        <v>0.40277777777777779</v>
      </c>
      <c r="C53" s="10" t="s">
        <v>20</v>
      </c>
      <c r="D53" s="11" t="s">
        <v>22</v>
      </c>
      <c r="E53" s="11">
        <v>202510026</v>
      </c>
      <c r="F53" s="11">
        <v>84.2</v>
      </c>
      <c r="G53" s="11"/>
      <c r="H53" s="12">
        <v>25</v>
      </c>
      <c r="I53" s="11"/>
      <c r="J53" s="11">
        <f>VLOOKUP(D53, [1]設備資料!$A:$E, 5, 0)</f>
        <v>2</v>
      </c>
      <c r="K53" s="11">
        <f t="shared" si="0"/>
        <v>0</v>
      </c>
      <c r="L53" s="12"/>
      <c r="M53" s="12">
        <v>49.6</v>
      </c>
    </row>
    <row r="54" spans="1:13">
      <c r="A54" s="5">
        <v>46083</v>
      </c>
      <c r="B54" s="6">
        <v>0.40277777777777779</v>
      </c>
      <c r="C54" s="6" t="s">
        <v>20</v>
      </c>
      <c r="D54" s="7" t="s">
        <v>23</v>
      </c>
      <c r="E54" s="7">
        <v>202511017</v>
      </c>
      <c r="F54" s="7">
        <v>87.2</v>
      </c>
      <c r="G54" s="7"/>
      <c r="H54" s="8">
        <v>25</v>
      </c>
      <c r="I54" s="7"/>
      <c r="J54" s="7">
        <f>VLOOKUP(D54, [1]設備資料!$A:$E, 5, 0)</f>
        <v>3</v>
      </c>
      <c r="K54" s="7">
        <f t="shared" si="0"/>
        <v>0</v>
      </c>
      <c r="L54" s="8"/>
      <c r="M54" s="8">
        <v>49.6</v>
      </c>
    </row>
    <row r="55" spans="1:13">
      <c r="A55" s="9">
        <v>46083</v>
      </c>
      <c r="B55" s="10">
        <v>0.40277777777777779</v>
      </c>
      <c r="C55" s="10" t="s">
        <v>20</v>
      </c>
      <c r="D55" s="11" t="s">
        <v>24</v>
      </c>
      <c r="E55" s="11">
        <v>202511005</v>
      </c>
      <c r="F55" s="11">
        <v>109.2</v>
      </c>
      <c r="G55" s="11"/>
      <c r="H55" s="12">
        <v>25</v>
      </c>
      <c r="I55" s="11"/>
      <c r="J55" s="11">
        <f>VLOOKUP(D55, [1]設備資料!$A:$E, 5, 0)</f>
        <v>5</v>
      </c>
      <c r="K55" s="11">
        <f t="shared" si="0"/>
        <v>0</v>
      </c>
      <c r="L55" s="12"/>
      <c r="M55" s="12">
        <v>49.6</v>
      </c>
    </row>
    <row r="56" spans="1:13">
      <c r="A56" s="5">
        <v>46083</v>
      </c>
      <c r="B56" s="6">
        <v>0.40277777777777779</v>
      </c>
      <c r="C56" s="6" t="s">
        <v>20</v>
      </c>
      <c r="D56" s="7" t="s">
        <v>25</v>
      </c>
      <c r="E56" s="7" t="s">
        <v>26</v>
      </c>
      <c r="F56" s="7">
        <v>110.4</v>
      </c>
      <c r="G56" s="7"/>
      <c r="H56" s="8">
        <v>25</v>
      </c>
      <c r="I56" s="7"/>
      <c r="J56" s="7">
        <f>VLOOKUP(D56, [1]設備資料!$A:$E, 5, 0)</f>
        <v>5</v>
      </c>
      <c r="K56" s="7">
        <f t="shared" si="0"/>
        <v>0</v>
      </c>
      <c r="L56" s="8"/>
      <c r="M56" s="8">
        <v>49.6</v>
      </c>
    </row>
    <row r="57" spans="1:13">
      <c r="A57" s="9">
        <v>46083</v>
      </c>
      <c r="B57" s="10">
        <v>0.6875</v>
      </c>
      <c r="C57" s="10" t="s">
        <v>13</v>
      </c>
      <c r="D57" s="11" t="s">
        <v>14</v>
      </c>
      <c r="E57" s="11">
        <v>202510001</v>
      </c>
      <c r="F57" s="11">
        <v>79.7</v>
      </c>
      <c r="G57" s="11"/>
      <c r="H57" s="12">
        <v>27</v>
      </c>
      <c r="I57" s="11"/>
      <c r="J57" s="11">
        <f>VLOOKUP(D57, [1]設備資料!$A:$E, 5, 0)</f>
        <v>2</v>
      </c>
      <c r="K57" s="11">
        <f t="shared" si="0"/>
        <v>0</v>
      </c>
      <c r="L57" s="12">
        <v>48.9</v>
      </c>
      <c r="M57" s="12"/>
    </row>
    <row r="58" spans="1:13">
      <c r="A58" s="5">
        <v>46083</v>
      </c>
      <c r="B58" s="6">
        <v>0.6875</v>
      </c>
      <c r="C58" s="6" t="s">
        <v>13</v>
      </c>
      <c r="D58" s="7" t="s">
        <v>15</v>
      </c>
      <c r="E58" s="7">
        <v>202510006</v>
      </c>
      <c r="F58" s="7">
        <v>75.099999999999994</v>
      </c>
      <c r="G58" s="7"/>
      <c r="H58" s="8">
        <v>27</v>
      </c>
      <c r="I58" s="7"/>
      <c r="J58" s="7">
        <f>VLOOKUP(D58, [1]設備資料!$A:$E, 5, 0)</f>
        <v>2</v>
      </c>
      <c r="K58" s="7">
        <f t="shared" si="0"/>
        <v>0</v>
      </c>
      <c r="L58" s="8">
        <v>48.9</v>
      </c>
      <c r="M58" s="8"/>
    </row>
    <row r="59" spans="1:13">
      <c r="A59" s="9">
        <v>46083</v>
      </c>
      <c r="B59" s="10">
        <v>0.6875</v>
      </c>
      <c r="C59" s="10" t="s">
        <v>13</v>
      </c>
      <c r="D59" s="11" t="s">
        <v>16</v>
      </c>
      <c r="E59" s="11">
        <v>202511011</v>
      </c>
      <c r="F59" s="11">
        <v>85.6</v>
      </c>
      <c r="G59" s="11"/>
      <c r="H59" s="12">
        <v>27</v>
      </c>
      <c r="I59" s="11"/>
      <c r="J59" s="11">
        <f>VLOOKUP(D59, [1]設備資料!$A:$E, 5, 0)</f>
        <v>3</v>
      </c>
      <c r="K59" s="11">
        <f t="shared" si="0"/>
        <v>0</v>
      </c>
      <c r="L59" s="12">
        <v>48.9</v>
      </c>
      <c r="M59" s="12"/>
    </row>
    <row r="60" spans="1:13">
      <c r="A60" s="5">
        <v>46083</v>
      </c>
      <c r="B60" s="6">
        <v>0.6875</v>
      </c>
      <c r="C60" s="6" t="s">
        <v>13</v>
      </c>
      <c r="D60" s="7" t="s">
        <v>17</v>
      </c>
      <c r="E60" s="7">
        <v>202511012</v>
      </c>
      <c r="F60" s="7">
        <v>84.5</v>
      </c>
      <c r="G60" s="7"/>
      <c r="H60" s="8">
        <v>27</v>
      </c>
      <c r="I60" s="7"/>
      <c r="J60" s="7">
        <f>VLOOKUP(D60, [1]設備資料!$A:$E, 5, 0)</f>
        <v>3</v>
      </c>
      <c r="K60" s="7">
        <f t="shared" si="0"/>
        <v>0</v>
      </c>
      <c r="L60" s="8">
        <v>48.9</v>
      </c>
      <c r="M60" s="8"/>
    </row>
    <row r="61" spans="1:13">
      <c r="A61" s="9">
        <v>46083</v>
      </c>
      <c r="B61" s="10">
        <v>0.6875</v>
      </c>
      <c r="C61" s="10" t="s">
        <v>13</v>
      </c>
      <c r="D61" s="11" t="s">
        <v>18</v>
      </c>
      <c r="E61" s="11">
        <v>202511001</v>
      </c>
      <c r="F61" s="11">
        <v>106.6</v>
      </c>
      <c r="G61" s="11"/>
      <c r="H61" s="12">
        <v>27</v>
      </c>
      <c r="I61" s="11"/>
      <c r="J61" s="11">
        <f>VLOOKUP(D61, [1]設備資料!$A:$E, 5, 0)</f>
        <v>5</v>
      </c>
      <c r="K61" s="11">
        <f t="shared" si="0"/>
        <v>0</v>
      </c>
      <c r="L61" s="12">
        <v>48.9</v>
      </c>
      <c r="M61" s="12"/>
    </row>
    <row r="62" spans="1:13">
      <c r="A62" s="5">
        <v>46083</v>
      </c>
      <c r="B62" s="6">
        <v>0.6875</v>
      </c>
      <c r="C62" s="6" t="s">
        <v>13</v>
      </c>
      <c r="D62" s="7" t="s">
        <v>19</v>
      </c>
      <c r="E62" s="7">
        <v>202511002</v>
      </c>
      <c r="F62" s="7">
        <v>102.4</v>
      </c>
      <c r="G62" s="7"/>
      <c r="H62" s="8">
        <v>27</v>
      </c>
      <c r="I62" s="7"/>
      <c r="J62" s="7">
        <f>VLOOKUP(D62, [1]設備資料!$A:$E, 5, 0)</f>
        <v>5</v>
      </c>
      <c r="K62" s="7">
        <f t="shared" si="0"/>
        <v>0</v>
      </c>
      <c r="L62" s="8">
        <v>48.9</v>
      </c>
      <c r="M62" s="8"/>
    </row>
    <row r="63" spans="1:13">
      <c r="A63" s="9">
        <v>46083</v>
      </c>
      <c r="B63" s="10">
        <v>0.69444444444444442</v>
      </c>
      <c r="C63" s="10" t="s">
        <v>20</v>
      </c>
      <c r="D63" s="11" t="s">
        <v>21</v>
      </c>
      <c r="E63" s="11">
        <v>202510024</v>
      </c>
      <c r="F63" s="11">
        <v>79.400000000000006</v>
      </c>
      <c r="G63" s="11"/>
      <c r="H63" s="12">
        <v>27</v>
      </c>
      <c r="I63" s="11"/>
      <c r="J63" s="11">
        <f>VLOOKUP(D63, [1]設備資料!$A:$E, 5, 0)</f>
        <v>2</v>
      </c>
      <c r="K63" s="11">
        <f t="shared" si="0"/>
        <v>0</v>
      </c>
      <c r="L63" s="12"/>
      <c r="M63" s="12">
        <v>48.1</v>
      </c>
    </row>
    <row r="64" spans="1:13">
      <c r="A64" s="5">
        <v>46083</v>
      </c>
      <c r="B64" s="6">
        <v>0.69444444444444442</v>
      </c>
      <c r="C64" s="6" t="s">
        <v>20</v>
      </c>
      <c r="D64" s="7" t="s">
        <v>22</v>
      </c>
      <c r="E64" s="7">
        <v>202510026</v>
      </c>
      <c r="F64" s="7">
        <v>83</v>
      </c>
      <c r="G64" s="7"/>
      <c r="H64" s="8">
        <v>27</v>
      </c>
      <c r="I64" s="7"/>
      <c r="J64" s="7">
        <f>VLOOKUP(D64, [1]設備資料!$A:$E, 5, 0)</f>
        <v>2</v>
      </c>
      <c r="K64" s="7">
        <f t="shared" si="0"/>
        <v>0</v>
      </c>
      <c r="L64" s="8"/>
      <c r="M64" s="8">
        <v>48.1</v>
      </c>
    </row>
    <row r="65" spans="1:13">
      <c r="A65" s="9">
        <v>46083</v>
      </c>
      <c r="B65" s="10">
        <v>0.69444444444444442</v>
      </c>
      <c r="C65" s="10" t="s">
        <v>20</v>
      </c>
      <c r="D65" s="11" t="s">
        <v>23</v>
      </c>
      <c r="E65" s="11">
        <v>202511017</v>
      </c>
      <c r="F65" s="11">
        <v>85.3</v>
      </c>
      <c r="G65" s="11"/>
      <c r="H65" s="12">
        <v>27</v>
      </c>
      <c r="I65" s="11"/>
      <c r="J65" s="11">
        <f>VLOOKUP(D65, [1]設備資料!$A:$E, 5, 0)</f>
        <v>3</v>
      </c>
      <c r="K65" s="11">
        <f t="shared" si="0"/>
        <v>0</v>
      </c>
      <c r="L65" s="12"/>
      <c r="M65" s="12">
        <v>48.1</v>
      </c>
    </row>
    <row r="66" spans="1:13">
      <c r="A66" s="5">
        <v>46083</v>
      </c>
      <c r="B66" s="6">
        <v>0.69444444444444442</v>
      </c>
      <c r="C66" s="6" t="s">
        <v>20</v>
      </c>
      <c r="D66" s="7" t="s">
        <v>24</v>
      </c>
      <c r="E66" s="7">
        <v>202511005</v>
      </c>
      <c r="F66" s="7">
        <v>107.1</v>
      </c>
      <c r="G66" s="7"/>
      <c r="H66" s="8">
        <v>27</v>
      </c>
      <c r="I66" s="7"/>
      <c r="J66" s="7">
        <f>VLOOKUP(D66, [1]設備資料!$A:$E, 5, 0)</f>
        <v>5</v>
      </c>
      <c r="K66" s="7">
        <f t="shared" ref="K66:K122" si="1">IF(I66="", 0, IF(OR(I66=0, AND(J66=2, I66&gt;6.6), AND(J66=3, I66&gt;8.6), AND(J66=5, I66&gt;14.1)), 1, 0))</f>
        <v>0</v>
      </c>
      <c r="L66" s="8"/>
      <c r="M66" s="8">
        <v>48.1</v>
      </c>
    </row>
    <row r="67" spans="1:13">
      <c r="A67" s="9">
        <v>46083</v>
      </c>
      <c r="B67" s="10">
        <v>0.69444444444444442</v>
      </c>
      <c r="C67" s="10" t="s">
        <v>20</v>
      </c>
      <c r="D67" s="11" t="s">
        <v>25</v>
      </c>
      <c r="E67" s="11" t="s">
        <v>26</v>
      </c>
      <c r="F67" s="11">
        <v>109</v>
      </c>
      <c r="G67" s="11"/>
      <c r="H67" s="12">
        <v>27</v>
      </c>
      <c r="I67" s="11"/>
      <c r="J67" s="11">
        <f>VLOOKUP(D67, [1]設備資料!$A:$E, 5, 0)</f>
        <v>5</v>
      </c>
      <c r="K67" s="11">
        <f t="shared" si="1"/>
        <v>0</v>
      </c>
      <c r="L67" s="12"/>
      <c r="M67" s="12">
        <v>48.1</v>
      </c>
    </row>
    <row r="68" spans="1:13">
      <c r="A68" s="5">
        <v>46084</v>
      </c>
      <c r="B68" s="6">
        <v>0.39583333333333331</v>
      </c>
      <c r="C68" s="6" t="s">
        <v>13</v>
      </c>
      <c r="D68" s="7" t="s">
        <v>14</v>
      </c>
      <c r="E68" s="7">
        <v>202510001</v>
      </c>
      <c r="F68" s="7">
        <v>81.099999999999994</v>
      </c>
      <c r="G68" s="7"/>
      <c r="H68" s="8">
        <v>22</v>
      </c>
      <c r="I68" s="7"/>
      <c r="J68" s="7">
        <f>VLOOKUP(D68, [1]設備資料!$A:$E, 5, 0)</f>
        <v>2</v>
      </c>
      <c r="K68" s="7">
        <f t="shared" si="1"/>
        <v>0</v>
      </c>
      <c r="L68" s="8">
        <v>50.4</v>
      </c>
      <c r="M68" s="8"/>
    </row>
    <row r="69" spans="1:13">
      <c r="A69" s="9">
        <v>46084</v>
      </c>
      <c r="B69" s="10">
        <v>0.39583333333333331</v>
      </c>
      <c r="C69" s="10" t="s">
        <v>13</v>
      </c>
      <c r="D69" s="11" t="s">
        <v>15</v>
      </c>
      <c r="E69" s="11">
        <v>202510006</v>
      </c>
      <c r="F69" s="11">
        <v>76.5</v>
      </c>
      <c r="G69" s="11"/>
      <c r="H69" s="12">
        <v>22</v>
      </c>
      <c r="I69" s="11"/>
      <c r="J69" s="11">
        <f>VLOOKUP(D69, [1]設備資料!$A:$E, 5, 0)</f>
        <v>2</v>
      </c>
      <c r="K69" s="11">
        <f t="shared" si="1"/>
        <v>0</v>
      </c>
      <c r="L69" s="12">
        <v>50.4</v>
      </c>
      <c r="M69" s="12"/>
    </row>
    <row r="70" spans="1:13">
      <c r="A70" s="5">
        <v>46084</v>
      </c>
      <c r="B70" s="6">
        <v>0.39583333333333331</v>
      </c>
      <c r="C70" s="6" t="s">
        <v>13</v>
      </c>
      <c r="D70" s="7" t="s">
        <v>16</v>
      </c>
      <c r="E70" s="7">
        <v>202511011</v>
      </c>
      <c r="F70" s="7">
        <v>86.9</v>
      </c>
      <c r="G70" s="7"/>
      <c r="H70" s="8">
        <v>22</v>
      </c>
      <c r="I70" s="7"/>
      <c r="J70" s="7">
        <f>VLOOKUP(D70, [1]設備資料!$A:$E, 5, 0)</f>
        <v>3</v>
      </c>
      <c r="K70" s="7">
        <f t="shared" si="1"/>
        <v>0</v>
      </c>
      <c r="L70" s="8">
        <v>50.4</v>
      </c>
      <c r="M70" s="8"/>
    </row>
    <row r="71" spans="1:13">
      <c r="A71" s="9">
        <v>46084</v>
      </c>
      <c r="B71" s="10">
        <v>0.39583333333333331</v>
      </c>
      <c r="C71" s="10" t="s">
        <v>13</v>
      </c>
      <c r="D71" s="11" t="s">
        <v>17</v>
      </c>
      <c r="E71" s="11">
        <v>202511012</v>
      </c>
      <c r="F71" s="11">
        <v>85.8</v>
      </c>
      <c r="G71" s="11"/>
      <c r="H71" s="12">
        <v>22</v>
      </c>
      <c r="I71" s="11"/>
      <c r="J71" s="11">
        <f>VLOOKUP(D71, [1]設備資料!$A:$E, 5, 0)</f>
        <v>3</v>
      </c>
      <c r="K71" s="11">
        <f t="shared" si="1"/>
        <v>0</v>
      </c>
      <c r="L71" s="12">
        <v>50.4</v>
      </c>
      <c r="M71" s="12"/>
    </row>
    <row r="72" spans="1:13">
      <c r="A72" s="5">
        <v>46084</v>
      </c>
      <c r="B72" s="6">
        <v>0.39583333333333331</v>
      </c>
      <c r="C72" s="6" t="s">
        <v>13</v>
      </c>
      <c r="D72" s="7" t="s">
        <v>18</v>
      </c>
      <c r="E72" s="7">
        <v>202511001</v>
      </c>
      <c r="F72" s="7">
        <v>107.8</v>
      </c>
      <c r="G72" s="7"/>
      <c r="H72" s="8">
        <v>22</v>
      </c>
      <c r="I72" s="7"/>
      <c r="J72" s="7">
        <f>VLOOKUP(D72, [1]設備資料!$A:$E, 5, 0)</f>
        <v>5</v>
      </c>
      <c r="K72" s="7">
        <f t="shared" si="1"/>
        <v>0</v>
      </c>
      <c r="L72" s="8">
        <v>50.4</v>
      </c>
      <c r="M72" s="8"/>
    </row>
    <row r="73" spans="1:13">
      <c r="A73" s="9">
        <v>46084</v>
      </c>
      <c r="B73" s="10">
        <v>0.39583333333333331</v>
      </c>
      <c r="C73" s="10" t="s">
        <v>13</v>
      </c>
      <c r="D73" s="11" t="s">
        <v>19</v>
      </c>
      <c r="E73" s="11">
        <v>202511002</v>
      </c>
      <c r="F73" s="11">
        <v>103.8</v>
      </c>
      <c r="G73" s="11"/>
      <c r="H73" s="12">
        <v>22</v>
      </c>
      <c r="I73" s="11"/>
      <c r="J73" s="11">
        <f>VLOOKUP(D73, [1]設備資料!$A:$E, 5, 0)</f>
        <v>5</v>
      </c>
      <c r="K73" s="11">
        <f t="shared" si="1"/>
        <v>0</v>
      </c>
      <c r="L73" s="12">
        <v>50.4</v>
      </c>
      <c r="M73" s="12"/>
    </row>
    <row r="74" spans="1:13">
      <c r="A74" s="5">
        <v>46084</v>
      </c>
      <c r="B74" s="6">
        <v>0.40277777777777779</v>
      </c>
      <c r="C74" s="6" t="s">
        <v>20</v>
      </c>
      <c r="D74" s="7" t="s">
        <v>21</v>
      </c>
      <c r="E74" s="7">
        <v>202510024</v>
      </c>
      <c r="F74" s="7">
        <v>81</v>
      </c>
      <c r="G74" s="7"/>
      <c r="H74" s="8">
        <v>22</v>
      </c>
      <c r="I74" s="7"/>
      <c r="J74" s="7">
        <f>VLOOKUP(D74, [1]設備資料!$A:$E, 5, 0)</f>
        <v>2</v>
      </c>
      <c r="K74" s="7">
        <f t="shared" si="1"/>
        <v>0</v>
      </c>
      <c r="L74" s="8"/>
      <c r="M74" s="8">
        <v>49.6</v>
      </c>
    </row>
    <row r="75" spans="1:13">
      <c r="A75" s="9">
        <v>46084</v>
      </c>
      <c r="B75" s="10">
        <v>0.40277777777777779</v>
      </c>
      <c r="C75" s="10" t="s">
        <v>20</v>
      </c>
      <c r="D75" s="11" t="s">
        <v>22</v>
      </c>
      <c r="E75" s="11">
        <v>202510026</v>
      </c>
      <c r="F75" s="11">
        <v>84.2</v>
      </c>
      <c r="G75" s="11"/>
      <c r="H75" s="12">
        <v>22</v>
      </c>
      <c r="I75" s="11"/>
      <c r="J75" s="11">
        <f>VLOOKUP(D75, [1]設備資料!$A:$E, 5, 0)</f>
        <v>2</v>
      </c>
      <c r="K75" s="11">
        <f t="shared" si="1"/>
        <v>0</v>
      </c>
      <c r="L75" s="12"/>
      <c r="M75" s="12">
        <v>49.6</v>
      </c>
    </row>
    <row r="76" spans="1:13">
      <c r="A76" s="5">
        <v>46084</v>
      </c>
      <c r="B76" s="6">
        <v>0.40277777777777779</v>
      </c>
      <c r="C76" s="6" t="s">
        <v>20</v>
      </c>
      <c r="D76" s="7" t="s">
        <v>23</v>
      </c>
      <c r="E76" s="7">
        <v>202511017</v>
      </c>
      <c r="F76" s="7">
        <v>87.2</v>
      </c>
      <c r="G76" s="7"/>
      <c r="H76" s="8">
        <v>22</v>
      </c>
      <c r="I76" s="7"/>
      <c r="J76" s="7">
        <f>VLOOKUP(D76, [1]設備資料!$A:$E, 5, 0)</f>
        <v>3</v>
      </c>
      <c r="K76" s="7">
        <f t="shared" si="1"/>
        <v>0</v>
      </c>
      <c r="L76" s="8"/>
      <c r="M76" s="8">
        <v>49.6</v>
      </c>
    </row>
    <row r="77" spans="1:13">
      <c r="A77" s="9">
        <v>46084</v>
      </c>
      <c r="B77" s="10">
        <v>0.40277777777777779</v>
      </c>
      <c r="C77" s="10" t="s">
        <v>20</v>
      </c>
      <c r="D77" s="11" t="s">
        <v>24</v>
      </c>
      <c r="E77" s="11">
        <v>202511005</v>
      </c>
      <c r="F77" s="11">
        <v>109.2</v>
      </c>
      <c r="G77" s="11"/>
      <c r="H77" s="12">
        <v>22</v>
      </c>
      <c r="I77" s="11"/>
      <c r="J77" s="11">
        <f>VLOOKUP(D77, [1]設備資料!$A:$E, 5, 0)</f>
        <v>5</v>
      </c>
      <c r="K77" s="11">
        <f t="shared" si="1"/>
        <v>0</v>
      </c>
      <c r="L77" s="12"/>
      <c r="M77" s="12">
        <v>49.6</v>
      </c>
    </row>
    <row r="78" spans="1:13">
      <c r="A78" s="5">
        <v>46084</v>
      </c>
      <c r="B78" s="6">
        <v>0.40277777777777779</v>
      </c>
      <c r="C78" s="6" t="s">
        <v>20</v>
      </c>
      <c r="D78" s="7" t="s">
        <v>25</v>
      </c>
      <c r="E78" s="7" t="s">
        <v>26</v>
      </c>
      <c r="F78" s="7">
        <v>110.4</v>
      </c>
      <c r="G78" s="7"/>
      <c r="H78" s="8">
        <v>22</v>
      </c>
      <c r="I78" s="7"/>
      <c r="J78" s="7">
        <f>VLOOKUP(D78, [1]設備資料!$A:$E, 5, 0)</f>
        <v>5</v>
      </c>
      <c r="K78" s="7">
        <f t="shared" si="1"/>
        <v>0</v>
      </c>
      <c r="L78" s="8"/>
      <c r="M78" s="8">
        <v>49.6</v>
      </c>
    </row>
    <row r="79" spans="1:13">
      <c r="A79" s="9">
        <v>46084</v>
      </c>
      <c r="B79" s="10">
        <v>0.6875</v>
      </c>
      <c r="C79" s="10" t="s">
        <v>13</v>
      </c>
      <c r="D79" s="11" t="s">
        <v>14</v>
      </c>
      <c r="E79" s="11">
        <v>202510001</v>
      </c>
      <c r="F79" s="11">
        <v>79.7</v>
      </c>
      <c r="G79" s="11"/>
      <c r="H79" s="12">
        <v>23</v>
      </c>
      <c r="I79" s="11"/>
      <c r="J79" s="11">
        <f>VLOOKUP(D79, [1]設備資料!$A:$E, 5, 0)</f>
        <v>2</v>
      </c>
      <c r="K79" s="11">
        <f t="shared" si="1"/>
        <v>0</v>
      </c>
      <c r="L79" s="12">
        <v>48.9</v>
      </c>
      <c r="M79" s="12"/>
    </row>
    <row r="80" spans="1:13">
      <c r="A80" s="5">
        <v>46084</v>
      </c>
      <c r="B80" s="6">
        <v>0.6875</v>
      </c>
      <c r="C80" s="6" t="s">
        <v>13</v>
      </c>
      <c r="D80" s="7" t="s">
        <v>15</v>
      </c>
      <c r="E80" s="7">
        <v>202510006</v>
      </c>
      <c r="F80" s="7">
        <v>75.099999999999994</v>
      </c>
      <c r="G80" s="7"/>
      <c r="H80" s="8">
        <v>23</v>
      </c>
      <c r="I80" s="7"/>
      <c r="J80" s="7">
        <f>VLOOKUP(D80, [1]設備資料!$A:$E, 5, 0)</f>
        <v>2</v>
      </c>
      <c r="K80" s="7">
        <f t="shared" si="1"/>
        <v>0</v>
      </c>
      <c r="L80" s="8">
        <v>48.9</v>
      </c>
      <c r="M80" s="8"/>
    </row>
    <row r="81" spans="1:13">
      <c r="A81" s="9">
        <v>46084</v>
      </c>
      <c r="B81" s="10">
        <v>0.6875</v>
      </c>
      <c r="C81" s="10" t="s">
        <v>13</v>
      </c>
      <c r="D81" s="11" t="s">
        <v>16</v>
      </c>
      <c r="E81" s="11">
        <v>202511011</v>
      </c>
      <c r="F81" s="11">
        <v>85.6</v>
      </c>
      <c r="G81" s="11"/>
      <c r="H81" s="12">
        <v>23</v>
      </c>
      <c r="I81" s="11"/>
      <c r="J81" s="11">
        <f>VLOOKUP(D81, [1]設備資料!$A:$E, 5, 0)</f>
        <v>3</v>
      </c>
      <c r="K81" s="11">
        <f t="shared" si="1"/>
        <v>0</v>
      </c>
      <c r="L81" s="12">
        <v>48.9</v>
      </c>
      <c r="M81" s="12"/>
    </row>
    <row r="82" spans="1:13">
      <c r="A82" s="5">
        <v>46084</v>
      </c>
      <c r="B82" s="6">
        <v>0.6875</v>
      </c>
      <c r="C82" s="6" t="s">
        <v>13</v>
      </c>
      <c r="D82" s="7" t="s">
        <v>17</v>
      </c>
      <c r="E82" s="7">
        <v>202511012</v>
      </c>
      <c r="F82" s="7">
        <v>84.5</v>
      </c>
      <c r="G82" s="7"/>
      <c r="H82" s="8">
        <v>23</v>
      </c>
      <c r="I82" s="7"/>
      <c r="J82" s="7">
        <f>VLOOKUP(D82, [1]設備資料!$A:$E, 5, 0)</f>
        <v>3</v>
      </c>
      <c r="K82" s="7">
        <f t="shared" si="1"/>
        <v>0</v>
      </c>
      <c r="L82" s="8">
        <v>48.9</v>
      </c>
      <c r="M82" s="8"/>
    </row>
    <row r="83" spans="1:13">
      <c r="A83" s="9">
        <v>46084</v>
      </c>
      <c r="B83" s="10">
        <v>0.6875</v>
      </c>
      <c r="C83" s="10" t="s">
        <v>13</v>
      </c>
      <c r="D83" s="11" t="s">
        <v>18</v>
      </c>
      <c r="E83" s="11">
        <v>202511001</v>
      </c>
      <c r="F83" s="11">
        <v>106.6</v>
      </c>
      <c r="G83" s="11"/>
      <c r="H83" s="12">
        <v>23</v>
      </c>
      <c r="I83" s="11"/>
      <c r="J83" s="11">
        <f>VLOOKUP(D83, [1]設備資料!$A:$E, 5, 0)</f>
        <v>5</v>
      </c>
      <c r="K83" s="11">
        <f t="shared" si="1"/>
        <v>0</v>
      </c>
      <c r="L83" s="12">
        <v>48.9</v>
      </c>
      <c r="M83" s="12"/>
    </row>
    <row r="84" spans="1:13">
      <c r="A84" s="5">
        <v>46084</v>
      </c>
      <c r="B84" s="6">
        <v>0.6875</v>
      </c>
      <c r="C84" s="6" t="s">
        <v>13</v>
      </c>
      <c r="D84" s="7" t="s">
        <v>19</v>
      </c>
      <c r="E84" s="7">
        <v>202511002</v>
      </c>
      <c r="F84" s="7">
        <v>102.4</v>
      </c>
      <c r="G84" s="7"/>
      <c r="H84" s="8">
        <v>23</v>
      </c>
      <c r="I84" s="7"/>
      <c r="J84" s="7">
        <f>VLOOKUP(D84, [1]設備資料!$A:$E, 5, 0)</f>
        <v>5</v>
      </c>
      <c r="K84" s="7">
        <f t="shared" si="1"/>
        <v>0</v>
      </c>
      <c r="L84" s="8">
        <v>48.9</v>
      </c>
      <c r="M84" s="8"/>
    </row>
    <row r="85" spans="1:13">
      <c r="A85" s="9">
        <v>46084</v>
      </c>
      <c r="B85" s="10">
        <v>0.69444444444444442</v>
      </c>
      <c r="C85" s="10" t="s">
        <v>20</v>
      </c>
      <c r="D85" s="11" t="s">
        <v>21</v>
      </c>
      <c r="E85" s="11">
        <v>202510024</v>
      </c>
      <c r="F85" s="11">
        <v>79.5</v>
      </c>
      <c r="G85" s="11"/>
      <c r="H85" s="12">
        <v>23</v>
      </c>
      <c r="I85" s="11"/>
      <c r="J85" s="11">
        <f>VLOOKUP(D85, [1]設備資料!$A:$E, 5, 0)</f>
        <v>2</v>
      </c>
      <c r="K85" s="11">
        <f t="shared" si="1"/>
        <v>0</v>
      </c>
      <c r="L85" s="12"/>
      <c r="M85" s="12">
        <v>48.1</v>
      </c>
    </row>
    <row r="86" spans="1:13">
      <c r="A86" s="5">
        <v>46084</v>
      </c>
      <c r="B86" s="6">
        <v>0.69444444444444442</v>
      </c>
      <c r="C86" s="6" t="s">
        <v>20</v>
      </c>
      <c r="D86" s="7" t="s">
        <v>22</v>
      </c>
      <c r="E86" s="7">
        <v>202510026</v>
      </c>
      <c r="F86" s="7">
        <v>83</v>
      </c>
      <c r="G86" s="7"/>
      <c r="H86" s="8">
        <v>23</v>
      </c>
      <c r="I86" s="7"/>
      <c r="J86" s="7">
        <f>VLOOKUP(D86, [1]設備資料!$A:$E, 5, 0)</f>
        <v>2</v>
      </c>
      <c r="K86" s="7">
        <f t="shared" si="1"/>
        <v>0</v>
      </c>
      <c r="L86" s="8"/>
      <c r="M86" s="8">
        <v>48.1</v>
      </c>
    </row>
    <row r="87" spans="1:13">
      <c r="A87" s="9">
        <v>46084</v>
      </c>
      <c r="B87" s="10">
        <v>0.69444444444444442</v>
      </c>
      <c r="C87" s="10" t="s">
        <v>20</v>
      </c>
      <c r="D87" s="11" t="s">
        <v>23</v>
      </c>
      <c r="E87" s="11">
        <v>202511017</v>
      </c>
      <c r="F87" s="11">
        <v>85.3</v>
      </c>
      <c r="G87" s="11"/>
      <c r="H87" s="12">
        <v>23</v>
      </c>
      <c r="I87" s="11"/>
      <c r="J87" s="11">
        <f>VLOOKUP(D87, [1]設備資料!$A:$E, 5, 0)</f>
        <v>3</v>
      </c>
      <c r="K87" s="11">
        <f t="shared" si="1"/>
        <v>0</v>
      </c>
      <c r="L87" s="12"/>
      <c r="M87" s="12">
        <v>48.1</v>
      </c>
    </row>
    <row r="88" spans="1:13">
      <c r="A88" s="5">
        <v>46084</v>
      </c>
      <c r="B88" s="6">
        <v>0.69444444444444442</v>
      </c>
      <c r="C88" s="6" t="s">
        <v>20</v>
      </c>
      <c r="D88" s="7" t="s">
        <v>24</v>
      </c>
      <c r="E88" s="7">
        <v>202511005</v>
      </c>
      <c r="F88" s="7">
        <v>107.1</v>
      </c>
      <c r="G88" s="7"/>
      <c r="H88" s="8">
        <v>23</v>
      </c>
      <c r="I88" s="7"/>
      <c r="J88" s="7">
        <f>VLOOKUP(D88, [1]設備資料!$A:$E, 5, 0)</f>
        <v>5</v>
      </c>
      <c r="K88" s="7">
        <f t="shared" si="1"/>
        <v>0</v>
      </c>
      <c r="L88" s="8"/>
      <c r="M88" s="8">
        <v>48.1</v>
      </c>
    </row>
    <row r="89" spans="1:13">
      <c r="A89" s="9">
        <v>46084</v>
      </c>
      <c r="B89" s="10">
        <v>0.69444444444444442</v>
      </c>
      <c r="C89" s="10" t="s">
        <v>20</v>
      </c>
      <c r="D89" s="11" t="s">
        <v>25</v>
      </c>
      <c r="E89" s="11" t="s">
        <v>26</v>
      </c>
      <c r="F89" s="11">
        <v>109</v>
      </c>
      <c r="G89" s="11"/>
      <c r="H89" s="12">
        <v>23</v>
      </c>
      <c r="I89" s="11"/>
      <c r="J89" s="11">
        <f>VLOOKUP(D89, [1]設備資料!$A:$E, 5, 0)</f>
        <v>5</v>
      </c>
      <c r="K89" s="11">
        <f t="shared" si="1"/>
        <v>0</v>
      </c>
      <c r="L89" s="12"/>
      <c r="M89" s="12">
        <v>48.1</v>
      </c>
    </row>
    <row r="90" spans="1:13">
      <c r="A90" s="5">
        <v>46085</v>
      </c>
      <c r="B90" s="6">
        <v>0.39583333333333331</v>
      </c>
      <c r="C90" s="6" t="s">
        <v>13</v>
      </c>
      <c r="D90" s="7" t="s">
        <v>14</v>
      </c>
      <c r="E90" s="7">
        <v>202510001</v>
      </c>
      <c r="F90" s="7">
        <v>77.099999999999994</v>
      </c>
      <c r="G90" s="7"/>
      <c r="H90" s="8">
        <v>18</v>
      </c>
      <c r="I90" s="7">
        <v>6.21</v>
      </c>
      <c r="J90" s="7">
        <f>VLOOKUP(D90, [1]設備資料!$A:$E, 5, 0)</f>
        <v>2</v>
      </c>
      <c r="K90" s="7">
        <f t="shared" si="1"/>
        <v>0</v>
      </c>
      <c r="L90" s="8">
        <v>46.4</v>
      </c>
      <c r="M90" s="8"/>
    </row>
    <row r="91" spans="1:13">
      <c r="A91" s="9">
        <v>46085</v>
      </c>
      <c r="B91" s="10">
        <v>0.39583333333333331</v>
      </c>
      <c r="C91" s="10" t="s">
        <v>13</v>
      </c>
      <c r="D91" s="11" t="s">
        <v>15</v>
      </c>
      <c r="E91" s="11">
        <v>202510006</v>
      </c>
      <c r="F91" s="11">
        <v>72.7</v>
      </c>
      <c r="G91" s="11"/>
      <c r="H91" s="12">
        <v>18</v>
      </c>
      <c r="I91" s="11">
        <v>6.14</v>
      </c>
      <c r="J91" s="11">
        <f>VLOOKUP(D91, [1]設備資料!$A:$E, 5, 0)</f>
        <v>2</v>
      </c>
      <c r="K91" s="11">
        <f t="shared" si="1"/>
        <v>0</v>
      </c>
      <c r="L91" s="12">
        <v>46.4</v>
      </c>
      <c r="M91" s="12"/>
    </row>
    <row r="92" spans="1:13">
      <c r="A92" s="5">
        <v>46085</v>
      </c>
      <c r="B92" s="6">
        <v>0.39583333333333331</v>
      </c>
      <c r="C92" s="6" t="s">
        <v>13</v>
      </c>
      <c r="D92" s="7" t="s">
        <v>16</v>
      </c>
      <c r="E92" s="7">
        <v>202511011</v>
      </c>
      <c r="F92" s="7">
        <v>83.9</v>
      </c>
      <c r="G92" s="7"/>
      <c r="H92" s="8">
        <v>18</v>
      </c>
      <c r="I92" s="7">
        <v>7.81</v>
      </c>
      <c r="J92" s="7">
        <f>VLOOKUP(D92, [1]設備資料!$A:$E, 5, 0)</f>
        <v>3</v>
      </c>
      <c r="K92" s="7">
        <f t="shared" si="1"/>
        <v>0</v>
      </c>
      <c r="L92" s="8">
        <v>46.4</v>
      </c>
      <c r="M92" s="8"/>
    </row>
    <row r="93" spans="1:13">
      <c r="A93" s="9">
        <v>46085</v>
      </c>
      <c r="B93" s="10">
        <v>0.39583333333333331</v>
      </c>
      <c r="C93" s="10" t="s">
        <v>13</v>
      </c>
      <c r="D93" s="11" t="s">
        <v>17</v>
      </c>
      <c r="E93" s="11">
        <v>202511012</v>
      </c>
      <c r="F93" s="11">
        <v>82.8</v>
      </c>
      <c r="G93" s="11"/>
      <c r="H93" s="12">
        <v>18</v>
      </c>
      <c r="I93" s="11">
        <v>7.83</v>
      </c>
      <c r="J93" s="11">
        <f>VLOOKUP(D93, [1]設備資料!$A:$E, 5, 0)</f>
        <v>3</v>
      </c>
      <c r="K93" s="11">
        <f t="shared" si="1"/>
        <v>0</v>
      </c>
      <c r="L93" s="12">
        <v>46.4</v>
      </c>
      <c r="M93" s="12"/>
    </row>
    <row r="94" spans="1:13">
      <c r="A94" s="5">
        <v>46085</v>
      </c>
      <c r="B94" s="6">
        <v>0.39583333333333331</v>
      </c>
      <c r="C94" s="6" t="s">
        <v>13</v>
      </c>
      <c r="D94" s="7" t="s">
        <v>18</v>
      </c>
      <c r="E94" s="7">
        <v>202511001</v>
      </c>
      <c r="F94" s="7">
        <v>104.4</v>
      </c>
      <c r="G94" s="7"/>
      <c r="H94" s="8">
        <v>18</v>
      </c>
      <c r="I94" s="7">
        <v>13.84</v>
      </c>
      <c r="J94" s="7">
        <f>VLOOKUP(D94, [1]設備資料!$A:$E, 5, 0)</f>
        <v>5</v>
      </c>
      <c r="K94" s="7">
        <f t="shared" si="1"/>
        <v>0</v>
      </c>
      <c r="L94" s="8">
        <v>46.4</v>
      </c>
      <c r="M94" s="8"/>
    </row>
    <row r="95" spans="1:13">
      <c r="A95" s="9">
        <v>46085</v>
      </c>
      <c r="B95" s="10">
        <v>0.39583333333333331</v>
      </c>
      <c r="C95" s="10" t="s">
        <v>13</v>
      </c>
      <c r="D95" s="11" t="s">
        <v>19</v>
      </c>
      <c r="E95" s="11">
        <v>202511002</v>
      </c>
      <c r="F95" s="11">
        <v>101.5</v>
      </c>
      <c r="G95" s="11"/>
      <c r="H95" s="12">
        <v>18</v>
      </c>
      <c r="I95" s="11">
        <v>13.79</v>
      </c>
      <c r="J95" s="11">
        <f>VLOOKUP(D95, [1]設備資料!$A:$E, 5, 0)</f>
        <v>5</v>
      </c>
      <c r="K95" s="11">
        <f t="shared" si="1"/>
        <v>0</v>
      </c>
      <c r="L95" s="12">
        <v>46.4</v>
      </c>
      <c r="M95" s="12"/>
    </row>
    <row r="96" spans="1:13">
      <c r="A96" s="5">
        <v>46085</v>
      </c>
      <c r="B96" s="6">
        <v>0.40277777777777779</v>
      </c>
      <c r="C96" s="6" t="s">
        <v>20</v>
      </c>
      <c r="D96" s="7" t="s">
        <v>21</v>
      </c>
      <c r="E96" s="7">
        <v>202510024</v>
      </c>
      <c r="F96" s="7">
        <v>77.099999999999994</v>
      </c>
      <c r="G96" s="7"/>
      <c r="H96" s="8">
        <v>18</v>
      </c>
      <c r="I96" s="7">
        <v>6.32</v>
      </c>
      <c r="J96" s="7">
        <f>VLOOKUP(D96, [1]設備資料!$A:$E, 5, 0)</f>
        <v>2</v>
      </c>
      <c r="K96" s="7">
        <f t="shared" si="1"/>
        <v>0</v>
      </c>
      <c r="L96" s="8"/>
      <c r="M96" s="8">
        <v>45.6</v>
      </c>
    </row>
    <row r="97" spans="1:13">
      <c r="A97" s="9">
        <v>46085</v>
      </c>
      <c r="B97" s="10">
        <v>0.40277777777777779</v>
      </c>
      <c r="C97" s="10" t="s">
        <v>20</v>
      </c>
      <c r="D97" s="11" t="s">
        <v>22</v>
      </c>
      <c r="E97" s="11">
        <v>202510026</v>
      </c>
      <c r="F97" s="11">
        <v>81</v>
      </c>
      <c r="G97" s="11"/>
      <c r="H97" s="12">
        <v>18</v>
      </c>
      <c r="I97" s="11">
        <v>6.27</v>
      </c>
      <c r="J97" s="11">
        <f>VLOOKUP(D97, [1]設備資料!$A:$E, 5, 0)</f>
        <v>2</v>
      </c>
      <c r="K97" s="11">
        <f t="shared" si="1"/>
        <v>0</v>
      </c>
      <c r="L97" s="12"/>
      <c r="M97" s="12">
        <v>45.6</v>
      </c>
    </row>
    <row r="98" spans="1:13">
      <c r="A98" s="5">
        <v>46085</v>
      </c>
      <c r="B98" s="6">
        <v>0.40277777777777779</v>
      </c>
      <c r="C98" s="6" t="s">
        <v>20</v>
      </c>
      <c r="D98" s="7" t="s">
        <v>23</v>
      </c>
      <c r="E98" s="7">
        <v>202511017</v>
      </c>
      <c r="F98" s="7">
        <v>83.3</v>
      </c>
      <c r="G98" s="7"/>
      <c r="H98" s="8">
        <v>18</v>
      </c>
      <c r="I98" s="7">
        <v>7.82</v>
      </c>
      <c r="J98" s="7">
        <f>VLOOKUP(D98, [1]設備資料!$A:$E, 5, 0)</f>
        <v>3</v>
      </c>
      <c r="K98" s="7">
        <f t="shared" si="1"/>
        <v>0</v>
      </c>
      <c r="L98" s="8"/>
      <c r="M98" s="8">
        <v>45.6</v>
      </c>
    </row>
    <row r="99" spans="1:13">
      <c r="A99" s="9">
        <v>46085</v>
      </c>
      <c r="B99" s="10">
        <v>0.40277777777777779</v>
      </c>
      <c r="C99" s="10" t="s">
        <v>20</v>
      </c>
      <c r="D99" s="11" t="s">
        <v>24</v>
      </c>
      <c r="E99" s="11">
        <v>202511005</v>
      </c>
      <c r="F99" s="11">
        <v>103.9</v>
      </c>
      <c r="G99" s="11"/>
      <c r="H99" s="12">
        <v>18</v>
      </c>
      <c r="I99" s="11">
        <v>13.81</v>
      </c>
      <c r="J99" s="11">
        <f>VLOOKUP(D99, [1]設備資料!$A:$E, 5, 0)</f>
        <v>5</v>
      </c>
      <c r="K99" s="11">
        <f t="shared" si="1"/>
        <v>0</v>
      </c>
      <c r="L99" s="12"/>
      <c r="M99" s="12">
        <v>45.6</v>
      </c>
    </row>
    <row r="100" spans="1:13">
      <c r="A100" s="5">
        <v>46085</v>
      </c>
      <c r="B100" s="6">
        <v>0.40277777777777779</v>
      </c>
      <c r="C100" s="6" t="s">
        <v>20</v>
      </c>
      <c r="D100" s="7" t="s">
        <v>25</v>
      </c>
      <c r="E100" s="7" t="s">
        <v>26</v>
      </c>
      <c r="F100" s="7">
        <v>105.8</v>
      </c>
      <c r="G100" s="7"/>
      <c r="H100" s="8">
        <v>18</v>
      </c>
      <c r="I100" s="7">
        <v>13.88</v>
      </c>
      <c r="J100" s="7">
        <f>VLOOKUP(D100, [1]設備資料!$A:$E, 5, 0)</f>
        <v>5</v>
      </c>
      <c r="K100" s="7">
        <f t="shared" si="1"/>
        <v>0</v>
      </c>
      <c r="L100" s="8"/>
      <c r="M100" s="8">
        <v>45.6</v>
      </c>
    </row>
    <row r="101" spans="1:13">
      <c r="A101" s="9">
        <v>46085</v>
      </c>
      <c r="B101" s="10">
        <v>0.6875</v>
      </c>
      <c r="C101" s="10" t="s">
        <v>13</v>
      </c>
      <c r="D101" s="11" t="s">
        <v>14</v>
      </c>
      <c r="E101" s="11">
        <v>202510001</v>
      </c>
      <c r="F101" s="11">
        <v>75.900000000000006</v>
      </c>
      <c r="G101" s="11"/>
      <c r="H101" s="12">
        <v>21</v>
      </c>
      <c r="I101" s="11"/>
      <c r="J101" s="11">
        <f>VLOOKUP(D101, [1]設備資料!$A:$E, 5, 0)</f>
        <v>2</v>
      </c>
      <c r="K101" s="11">
        <f t="shared" si="1"/>
        <v>0</v>
      </c>
      <c r="L101" s="12">
        <v>45.4</v>
      </c>
      <c r="M101" s="12"/>
    </row>
    <row r="102" spans="1:13">
      <c r="A102" s="5">
        <v>46085</v>
      </c>
      <c r="B102" s="6">
        <v>0.6875</v>
      </c>
      <c r="C102" s="6" t="s">
        <v>13</v>
      </c>
      <c r="D102" s="7" t="s">
        <v>15</v>
      </c>
      <c r="E102" s="7">
        <v>202510006</v>
      </c>
      <c r="F102" s="7">
        <v>75.900000000000006</v>
      </c>
      <c r="G102" s="7"/>
      <c r="H102" s="8">
        <v>21</v>
      </c>
      <c r="I102" s="7"/>
      <c r="J102" s="7">
        <f>VLOOKUP(D102, [1]設備資料!$A:$E, 5, 0)</f>
        <v>2</v>
      </c>
      <c r="K102" s="7">
        <f t="shared" si="1"/>
        <v>0</v>
      </c>
      <c r="L102" s="8">
        <v>45.4</v>
      </c>
      <c r="M102" s="8"/>
    </row>
    <row r="103" spans="1:13">
      <c r="A103" s="9">
        <v>46085</v>
      </c>
      <c r="B103" s="10">
        <v>0.6875</v>
      </c>
      <c r="C103" s="10" t="s">
        <v>13</v>
      </c>
      <c r="D103" s="11" t="s">
        <v>16</v>
      </c>
      <c r="E103" s="11">
        <v>202511011</v>
      </c>
      <c r="F103" s="11">
        <v>71.7</v>
      </c>
      <c r="G103" s="11"/>
      <c r="H103" s="12">
        <v>21</v>
      </c>
      <c r="I103" s="11"/>
      <c r="J103" s="11">
        <f>VLOOKUP(D103, [1]設備資料!$A:$E, 5, 0)</f>
        <v>3</v>
      </c>
      <c r="K103" s="11">
        <f t="shared" si="1"/>
        <v>0</v>
      </c>
      <c r="L103" s="12">
        <v>45.4</v>
      </c>
      <c r="M103" s="12"/>
    </row>
    <row r="104" spans="1:13">
      <c r="A104" s="5">
        <v>46085</v>
      </c>
      <c r="B104" s="6">
        <v>0.6875</v>
      </c>
      <c r="C104" s="6" t="s">
        <v>13</v>
      </c>
      <c r="D104" s="7" t="s">
        <v>17</v>
      </c>
      <c r="E104" s="7">
        <v>202511012</v>
      </c>
      <c r="F104" s="7">
        <v>82.8</v>
      </c>
      <c r="G104" s="7"/>
      <c r="H104" s="8">
        <v>21</v>
      </c>
      <c r="I104" s="7"/>
      <c r="J104" s="7">
        <f>VLOOKUP(D104, [1]設備資料!$A:$E, 5, 0)</f>
        <v>3</v>
      </c>
      <c r="K104" s="7">
        <f t="shared" si="1"/>
        <v>0</v>
      </c>
      <c r="L104" s="8">
        <v>45.4</v>
      </c>
      <c r="M104" s="8"/>
    </row>
    <row r="105" spans="1:13">
      <c r="A105" s="9">
        <v>46085</v>
      </c>
      <c r="B105" s="10">
        <v>0.6875</v>
      </c>
      <c r="C105" s="10" t="s">
        <v>13</v>
      </c>
      <c r="D105" s="11" t="s">
        <v>18</v>
      </c>
      <c r="E105" s="11">
        <v>202511001</v>
      </c>
      <c r="F105" s="11">
        <v>81.599999999999994</v>
      </c>
      <c r="G105" s="11"/>
      <c r="H105" s="12">
        <v>21</v>
      </c>
      <c r="I105" s="11"/>
      <c r="J105" s="11">
        <f>VLOOKUP(D105, [1]設備資料!$A:$E, 5, 0)</f>
        <v>5</v>
      </c>
      <c r="K105" s="11">
        <f t="shared" si="1"/>
        <v>0</v>
      </c>
      <c r="L105" s="12">
        <v>45.4</v>
      </c>
      <c r="M105" s="12"/>
    </row>
    <row r="106" spans="1:13">
      <c r="A106" s="5">
        <v>46085</v>
      </c>
      <c r="B106" s="6">
        <v>0.6875</v>
      </c>
      <c r="C106" s="6" t="s">
        <v>13</v>
      </c>
      <c r="D106" s="7" t="s">
        <v>19</v>
      </c>
      <c r="E106" s="7">
        <v>202511002</v>
      </c>
      <c r="F106" s="7">
        <v>104.6</v>
      </c>
      <c r="G106" s="7"/>
      <c r="H106" s="8">
        <v>21</v>
      </c>
      <c r="I106" s="7"/>
      <c r="J106" s="7">
        <f>VLOOKUP(D106, [1]設備資料!$A:$E, 5, 0)</f>
        <v>5</v>
      </c>
      <c r="K106" s="7">
        <f t="shared" si="1"/>
        <v>0</v>
      </c>
      <c r="L106" s="8">
        <v>45.4</v>
      </c>
      <c r="M106" s="8"/>
    </row>
    <row r="107" spans="1:13">
      <c r="A107" s="9">
        <v>46085</v>
      </c>
      <c r="B107" s="10">
        <v>0.69444444444444442</v>
      </c>
      <c r="C107" s="10" t="s">
        <v>20</v>
      </c>
      <c r="D107" s="11" t="s">
        <v>21</v>
      </c>
      <c r="E107" s="11">
        <v>202510024</v>
      </c>
      <c r="F107" s="11">
        <v>75.900000000000006</v>
      </c>
      <c r="G107" s="11"/>
      <c r="H107" s="12">
        <v>21</v>
      </c>
      <c r="I107" s="11"/>
      <c r="J107" s="11">
        <f>VLOOKUP(D107, [1]設備資料!$A:$E, 5, 0)</f>
        <v>2</v>
      </c>
      <c r="K107" s="11">
        <f t="shared" si="1"/>
        <v>0</v>
      </c>
      <c r="L107" s="12"/>
      <c r="M107" s="12">
        <v>44.6</v>
      </c>
    </row>
    <row r="108" spans="1:13">
      <c r="A108" s="5">
        <v>46085</v>
      </c>
      <c r="B108" s="6">
        <v>0.69444444444444442</v>
      </c>
      <c r="C108" s="6" t="s">
        <v>20</v>
      </c>
      <c r="D108" s="7" t="s">
        <v>22</v>
      </c>
      <c r="E108" s="7">
        <v>202510026</v>
      </c>
      <c r="F108" s="7">
        <v>78.900000000000006</v>
      </c>
      <c r="G108" s="7"/>
      <c r="H108" s="8">
        <v>21</v>
      </c>
      <c r="I108" s="7"/>
      <c r="J108" s="7">
        <f>VLOOKUP(D108, [1]設備資料!$A:$E, 5, 0)</f>
        <v>2</v>
      </c>
      <c r="K108" s="7">
        <f t="shared" si="1"/>
        <v>0</v>
      </c>
      <c r="L108" s="8"/>
      <c r="M108" s="8">
        <v>44.6</v>
      </c>
    </row>
    <row r="109" spans="1:13">
      <c r="A109" s="9">
        <v>46085</v>
      </c>
      <c r="B109" s="10">
        <v>0.69444444444444442</v>
      </c>
      <c r="C109" s="10" t="s">
        <v>20</v>
      </c>
      <c r="D109" s="11" t="s">
        <v>23</v>
      </c>
      <c r="E109" s="11">
        <v>202511017</v>
      </c>
      <c r="F109" s="11">
        <v>81.900000000000006</v>
      </c>
      <c r="G109" s="11"/>
      <c r="H109" s="12">
        <v>21</v>
      </c>
      <c r="I109" s="11"/>
      <c r="J109" s="11">
        <f>VLOOKUP(D109, [1]設備資料!$A:$E, 5, 0)</f>
        <v>3</v>
      </c>
      <c r="K109" s="11">
        <f t="shared" si="1"/>
        <v>0</v>
      </c>
      <c r="L109" s="12"/>
      <c r="M109" s="12">
        <v>44.6</v>
      </c>
    </row>
    <row r="110" spans="1:13">
      <c r="A110" s="5">
        <v>46085</v>
      </c>
      <c r="B110" s="6">
        <v>0.69444444444444442</v>
      </c>
      <c r="C110" s="6" t="s">
        <v>20</v>
      </c>
      <c r="D110" s="7" t="s">
        <v>24</v>
      </c>
      <c r="E110" s="7">
        <v>202511005</v>
      </c>
      <c r="F110" s="7">
        <v>106.4</v>
      </c>
      <c r="G110" s="7"/>
      <c r="H110" s="8">
        <v>21</v>
      </c>
      <c r="I110" s="7"/>
      <c r="J110" s="7">
        <f>VLOOKUP(D110, [1]設備資料!$A:$E, 5, 0)</f>
        <v>5</v>
      </c>
      <c r="K110" s="7">
        <f t="shared" si="1"/>
        <v>0</v>
      </c>
      <c r="L110" s="8"/>
      <c r="M110" s="8">
        <v>44.6</v>
      </c>
    </row>
    <row r="111" spans="1:13">
      <c r="A111" s="9">
        <v>46085</v>
      </c>
      <c r="B111" s="10">
        <v>0.69444444444444442</v>
      </c>
      <c r="C111" s="10" t="s">
        <v>20</v>
      </c>
      <c r="D111" s="11" t="s">
        <v>25</v>
      </c>
      <c r="E111" s="11" t="s">
        <v>26</v>
      </c>
      <c r="F111" s="11">
        <v>107.6</v>
      </c>
      <c r="G111" s="11"/>
      <c r="H111" s="12">
        <v>21</v>
      </c>
      <c r="I111" s="11"/>
      <c r="J111" s="11">
        <f>VLOOKUP(D111, [1]設備資料!$A:$E, 5, 0)</f>
        <v>5</v>
      </c>
      <c r="K111" s="11">
        <f t="shared" si="1"/>
        <v>0</v>
      </c>
      <c r="L111" s="12"/>
      <c r="M111" s="12">
        <v>44.6</v>
      </c>
    </row>
    <row r="112" spans="1:13">
      <c r="A112" s="5">
        <v>46087</v>
      </c>
      <c r="B112" s="6">
        <v>0.39583333333333331</v>
      </c>
      <c r="C112" s="6" t="s">
        <v>13</v>
      </c>
      <c r="D112" s="7" t="s">
        <v>14</v>
      </c>
      <c r="E112" s="7">
        <v>202510001</v>
      </c>
      <c r="F112" s="7">
        <v>76.3</v>
      </c>
      <c r="G112" s="7"/>
      <c r="H112" s="8">
        <v>21</v>
      </c>
      <c r="I112" s="7"/>
      <c r="J112" s="7">
        <f>VLOOKUP(D112, [1]設備資料!$A:$E, 5, 0)</f>
        <v>2</v>
      </c>
      <c r="K112" s="7">
        <f t="shared" si="1"/>
        <v>0</v>
      </c>
      <c r="L112" s="8">
        <v>46.8</v>
      </c>
      <c r="M112" s="8"/>
    </row>
    <row r="113" spans="1:13">
      <c r="A113" s="9">
        <v>46087</v>
      </c>
      <c r="B113" s="10">
        <v>0.39583333333333331</v>
      </c>
      <c r="C113" s="10" t="s">
        <v>13</v>
      </c>
      <c r="D113" s="11" t="s">
        <v>15</v>
      </c>
      <c r="E113" s="11">
        <v>202510006</v>
      </c>
      <c r="F113" s="11">
        <v>72.8</v>
      </c>
      <c r="G113" s="11"/>
      <c r="H113" s="12">
        <v>21</v>
      </c>
      <c r="I113" s="11"/>
      <c r="J113" s="11">
        <f>VLOOKUP(D113, [1]設備資料!$A:$E, 5, 0)</f>
        <v>2</v>
      </c>
      <c r="K113" s="11">
        <f t="shared" si="1"/>
        <v>0</v>
      </c>
      <c r="L113" s="12">
        <v>46.8</v>
      </c>
      <c r="M113" s="12"/>
    </row>
    <row r="114" spans="1:13">
      <c r="A114" s="5">
        <v>46087</v>
      </c>
      <c r="B114" s="6">
        <v>0.39583333333333331</v>
      </c>
      <c r="C114" s="6" t="s">
        <v>13</v>
      </c>
      <c r="D114" s="7" t="s">
        <v>16</v>
      </c>
      <c r="E114" s="7">
        <v>202511011</v>
      </c>
      <c r="F114" s="7">
        <v>84.2</v>
      </c>
      <c r="G114" s="7"/>
      <c r="H114" s="8">
        <v>21</v>
      </c>
      <c r="I114" s="7"/>
      <c r="J114" s="7">
        <f>VLOOKUP(D114, [1]設備資料!$A:$E, 5, 0)</f>
        <v>3</v>
      </c>
      <c r="K114" s="7">
        <f t="shared" si="1"/>
        <v>0</v>
      </c>
      <c r="L114" s="8">
        <v>46.8</v>
      </c>
      <c r="M114" s="8"/>
    </row>
    <row r="115" spans="1:13">
      <c r="A115" s="9">
        <v>46087</v>
      </c>
      <c r="B115" s="10">
        <v>0.39583333333333331</v>
      </c>
      <c r="C115" s="10" t="s">
        <v>13</v>
      </c>
      <c r="D115" s="11" t="s">
        <v>17</v>
      </c>
      <c r="E115" s="11">
        <v>202511012</v>
      </c>
      <c r="F115" s="11">
        <v>83</v>
      </c>
      <c r="G115" s="11"/>
      <c r="H115" s="12">
        <v>21</v>
      </c>
      <c r="I115" s="11"/>
      <c r="J115" s="11">
        <f>VLOOKUP(D115, [1]設備資料!$A:$E, 5, 0)</f>
        <v>3</v>
      </c>
      <c r="K115" s="11">
        <f t="shared" si="1"/>
        <v>0</v>
      </c>
      <c r="L115" s="12">
        <v>46.8</v>
      </c>
      <c r="M115" s="12"/>
    </row>
    <row r="116" spans="1:13">
      <c r="A116" s="5">
        <v>46087</v>
      </c>
      <c r="B116" s="6">
        <v>0.39583333333333331</v>
      </c>
      <c r="C116" s="6" t="s">
        <v>13</v>
      </c>
      <c r="D116" s="7" t="s">
        <v>18</v>
      </c>
      <c r="E116" s="7">
        <v>202511001</v>
      </c>
      <c r="F116" s="7">
        <v>106</v>
      </c>
      <c r="G116" s="7"/>
      <c r="H116" s="8">
        <v>21</v>
      </c>
      <c r="I116" s="7"/>
      <c r="J116" s="7">
        <f>VLOOKUP(D116, [1]設備資料!$A:$E, 5, 0)</f>
        <v>5</v>
      </c>
      <c r="K116" s="7">
        <f t="shared" si="1"/>
        <v>0</v>
      </c>
      <c r="L116" s="8">
        <v>46.8</v>
      </c>
      <c r="M116" s="8"/>
    </row>
    <row r="117" spans="1:13">
      <c r="A117" s="9">
        <v>46087</v>
      </c>
      <c r="B117" s="10">
        <v>0.39583333333333331</v>
      </c>
      <c r="C117" s="10" t="s">
        <v>13</v>
      </c>
      <c r="D117" s="11" t="s">
        <v>19</v>
      </c>
      <c r="E117" s="11">
        <v>202511002</v>
      </c>
      <c r="F117" s="11">
        <v>101.8</v>
      </c>
      <c r="G117" s="11"/>
      <c r="H117" s="12">
        <v>21</v>
      </c>
      <c r="I117" s="11"/>
      <c r="J117" s="11">
        <f>VLOOKUP(D117, [1]設備資料!$A:$E, 5, 0)</f>
        <v>5</v>
      </c>
      <c r="K117" s="11">
        <f t="shared" si="1"/>
        <v>0</v>
      </c>
      <c r="L117" s="12">
        <v>46.8</v>
      </c>
      <c r="M117" s="12"/>
    </row>
    <row r="118" spans="1:13">
      <c r="A118" s="5">
        <v>46087</v>
      </c>
      <c r="B118" s="6">
        <v>0.40277777777777779</v>
      </c>
      <c r="C118" s="6" t="s">
        <v>20</v>
      </c>
      <c r="D118" s="7" t="s">
        <v>21</v>
      </c>
      <c r="E118" s="7">
        <v>202510024</v>
      </c>
      <c r="F118" s="7">
        <v>76.900000000000006</v>
      </c>
      <c r="G118" s="7"/>
      <c r="H118" s="8">
        <v>21</v>
      </c>
      <c r="I118" s="7"/>
      <c r="J118" s="7">
        <f>VLOOKUP(D118, [1]設備資料!$A:$E, 5, 0)</f>
        <v>2</v>
      </c>
      <c r="K118" s="7">
        <f t="shared" si="1"/>
        <v>0</v>
      </c>
      <c r="L118" s="8"/>
      <c r="M118" s="8">
        <v>45.8</v>
      </c>
    </row>
    <row r="119" spans="1:13">
      <c r="A119" s="9">
        <v>46087</v>
      </c>
      <c r="B119" s="10">
        <v>0.40277777777777779</v>
      </c>
      <c r="C119" s="10" t="s">
        <v>20</v>
      </c>
      <c r="D119" s="11" t="s">
        <v>22</v>
      </c>
      <c r="E119" s="11">
        <v>202510026</v>
      </c>
      <c r="F119" s="11">
        <v>80.599999999999994</v>
      </c>
      <c r="G119" s="11"/>
      <c r="H119" s="12">
        <v>21</v>
      </c>
      <c r="I119" s="11"/>
      <c r="J119" s="11">
        <f>VLOOKUP(D119, [1]設備資料!$A:$E, 5, 0)</f>
        <v>2</v>
      </c>
      <c r="K119" s="11">
        <f t="shared" si="1"/>
        <v>0</v>
      </c>
      <c r="L119" s="12"/>
      <c r="M119" s="12">
        <v>45.8</v>
      </c>
    </row>
    <row r="120" spans="1:13">
      <c r="A120" s="5">
        <v>46087</v>
      </c>
      <c r="B120" s="6">
        <v>0.40277777777777779</v>
      </c>
      <c r="C120" s="6" t="s">
        <v>20</v>
      </c>
      <c r="D120" s="7" t="s">
        <v>23</v>
      </c>
      <c r="E120" s="7">
        <v>202511017</v>
      </c>
      <c r="F120" s="7">
        <v>83</v>
      </c>
      <c r="G120" s="7"/>
      <c r="H120" s="8">
        <v>21</v>
      </c>
      <c r="I120" s="7"/>
      <c r="J120" s="7">
        <f>VLOOKUP(D120, [1]設備資料!$A:$E, 5, 0)</f>
        <v>3</v>
      </c>
      <c r="K120" s="7">
        <f t="shared" si="1"/>
        <v>0</v>
      </c>
      <c r="L120" s="8"/>
      <c r="M120" s="8">
        <v>45.8</v>
      </c>
    </row>
    <row r="121" spans="1:13">
      <c r="A121" s="9">
        <v>46087</v>
      </c>
      <c r="B121" s="10">
        <v>0.40277777777777779</v>
      </c>
      <c r="C121" s="10" t="s">
        <v>20</v>
      </c>
      <c r="D121" s="11" t="s">
        <v>24</v>
      </c>
      <c r="E121" s="11">
        <v>202511005</v>
      </c>
      <c r="F121" s="11">
        <v>110.1</v>
      </c>
      <c r="G121" s="11"/>
      <c r="H121" s="12">
        <v>21</v>
      </c>
      <c r="I121" s="11"/>
      <c r="J121" s="11">
        <f>VLOOKUP(D121, [1]設備資料!$A:$E, 5, 0)</f>
        <v>5</v>
      </c>
      <c r="K121" s="11">
        <f t="shared" si="1"/>
        <v>0</v>
      </c>
      <c r="L121" s="12"/>
      <c r="M121" s="12">
        <v>45.8</v>
      </c>
    </row>
    <row r="122" spans="1:13">
      <c r="A122" s="13">
        <v>46087</v>
      </c>
      <c r="B122" s="14">
        <v>0.40277777777777779</v>
      </c>
      <c r="C122" s="14" t="s">
        <v>20</v>
      </c>
      <c r="D122" s="15" t="s">
        <v>25</v>
      </c>
      <c r="E122" s="15" t="s">
        <v>26</v>
      </c>
      <c r="F122" s="15">
        <v>112.1</v>
      </c>
      <c r="G122" s="15"/>
      <c r="H122" s="16">
        <v>21</v>
      </c>
      <c r="I122" s="15"/>
      <c r="J122" s="15">
        <f>VLOOKUP(D122, [1]設備資料!$A:$E, 5, 0)</f>
        <v>5</v>
      </c>
      <c r="K122" s="15">
        <f t="shared" si="1"/>
        <v>0</v>
      </c>
      <c r="L122" s="16"/>
      <c r="M122" s="16">
        <v>45.8</v>
      </c>
    </row>
  </sheetData>
  <phoneticPr fontId="2" type="noConversion"/>
  <conditionalFormatting sqref="K2:K122">
    <cfRule type="expression" dxfId="0" priority="1">
      <formula>$K2=1</formula>
    </cfRule>
  </conditionalFormatting>
  <dataValidations count="1">
    <dataValidation type="date" allowBlank="1" showInputMessage="1" showErrorMessage="1" sqref="A2:A122" xr:uid="{851D8DFD-D26F-4852-A431-B9B5E50FB6CC}">
      <formula1>46057</formula1>
      <formula2>46207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Tamara_Trejos(候旦妮)_大井泵浦</dc:creator>
  <cp:lastModifiedBy>Tamara_Trejos(候旦妮)_大井泵浦</cp:lastModifiedBy>
  <dcterms:created xsi:type="dcterms:W3CDTF">2026-03-24T03:26:25Z</dcterms:created>
  <dcterms:modified xsi:type="dcterms:W3CDTF">2026-03-24T03:26:49Z</dcterms:modified>
</cp:coreProperties>
</file>