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mara_trejos\Desktop\"/>
    </mc:Choice>
  </mc:AlternateContent>
  <xr:revisionPtr revIDLastSave="0" documentId="8_{6D2D9D98-CC9D-4ADE-B1FC-9B4686405290}" xr6:coauthVersionLast="47" xr6:coauthVersionMax="47" xr10:uidLastSave="{00000000-0000-0000-0000-000000000000}"/>
  <bookViews>
    <workbookView xWindow="-110" yWindow="-110" windowWidth="19420" windowHeight="10300" xr2:uid="{7628851B-9E49-4AF9-A303-F785DCA4E25C}"/>
  </bookViews>
  <sheets>
    <sheet name="監測總表" sheetId="1" r:id="rId1"/>
    <sheet name="工作表2" sheetId="2" r:id="rId2"/>
  </sheets>
  <externalReferences>
    <externalReference r:id="rId3"/>
  </externalReferences>
  <definedNames>
    <definedName name="_xlnm._FilterDatabase" localSheetId="0" hidden="1">監測總表!$A$1:$O$271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3" i="2" l="1"/>
  <c r="J133" i="2"/>
  <c r="K132" i="2"/>
  <c r="J132" i="2"/>
  <c r="K131" i="2"/>
  <c r="J131" i="2"/>
  <c r="K130" i="2"/>
  <c r="J130" i="2"/>
  <c r="K129" i="2"/>
  <c r="J129" i="2"/>
  <c r="K128" i="2"/>
  <c r="J128" i="2"/>
  <c r="K127" i="2"/>
  <c r="J127" i="2"/>
  <c r="K126" i="2"/>
  <c r="J126" i="2"/>
  <c r="K125" i="2"/>
  <c r="J125" i="2"/>
  <c r="K124" i="2"/>
  <c r="J124" i="2"/>
  <c r="K123" i="2"/>
  <c r="J123" i="2"/>
  <c r="K122" i="2"/>
  <c r="J122" i="2"/>
  <c r="K121" i="2"/>
  <c r="J121" i="2"/>
  <c r="K120" i="2"/>
  <c r="J120" i="2"/>
  <c r="K119" i="2"/>
  <c r="J119" i="2"/>
  <c r="K118" i="2"/>
  <c r="J118" i="2"/>
  <c r="K117" i="2"/>
  <c r="J117" i="2"/>
  <c r="K116" i="2"/>
  <c r="J116" i="2"/>
  <c r="K115" i="2"/>
  <c r="J115" i="2"/>
  <c r="K114" i="2"/>
  <c r="J114" i="2"/>
  <c r="K113" i="2"/>
  <c r="J113" i="2"/>
  <c r="K112" i="2"/>
  <c r="J112" i="2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K105" i="2"/>
  <c r="J105" i="2"/>
  <c r="K104" i="2"/>
  <c r="J104" i="2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J52" i="2"/>
  <c r="K52" i="2" s="1"/>
  <c r="K51" i="2"/>
  <c r="J51" i="2"/>
  <c r="K50" i="2"/>
  <c r="J50" i="2"/>
  <c r="K49" i="2"/>
  <c r="J49" i="2"/>
  <c r="K48" i="2"/>
  <c r="J48" i="2"/>
  <c r="K47" i="2"/>
  <c r="J47" i="2"/>
  <c r="J46" i="2"/>
  <c r="K46" i="2" s="1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J34" i="2"/>
  <c r="K34" i="2" s="1"/>
  <c r="K33" i="2"/>
  <c r="J33" i="2"/>
  <c r="K32" i="2"/>
  <c r="J32" i="2"/>
  <c r="K31" i="2"/>
  <c r="J31" i="2"/>
  <c r="K30" i="2"/>
  <c r="J30" i="2"/>
  <c r="K29" i="2"/>
  <c r="J29" i="2"/>
  <c r="J28" i="2"/>
  <c r="K28" i="2" s="1"/>
  <c r="K27" i="2"/>
  <c r="J27" i="2"/>
  <c r="K26" i="2"/>
  <c r="J26" i="2"/>
  <c r="J25" i="2"/>
  <c r="K25" i="2" s="1"/>
  <c r="K24" i="2"/>
  <c r="J24" i="2"/>
  <c r="K23" i="2"/>
  <c r="J23" i="2"/>
  <c r="J22" i="2"/>
  <c r="K22" i="2" s="1"/>
  <c r="K21" i="2"/>
  <c r="J21" i="2"/>
  <c r="K20" i="2"/>
  <c r="J20" i="2"/>
  <c r="J19" i="2"/>
  <c r="K19" i="2" s="1"/>
  <c r="K18" i="2"/>
  <c r="J18" i="2"/>
  <c r="K17" i="2"/>
  <c r="J17" i="2"/>
  <c r="J16" i="2"/>
  <c r="K16" i="2" s="1"/>
  <c r="K15" i="2"/>
  <c r="J15" i="2"/>
  <c r="K14" i="2"/>
  <c r="J14" i="2"/>
  <c r="J13" i="2"/>
  <c r="K13" i="2" s="1"/>
  <c r="K12" i="2"/>
  <c r="J12" i="2"/>
  <c r="K11" i="2"/>
  <c r="J11" i="2"/>
  <c r="J10" i="2"/>
  <c r="K10" i="2" s="1"/>
  <c r="K9" i="2"/>
  <c r="J9" i="2"/>
  <c r="K8" i="2"/>
  <c r="J8" i="2"/>
  <c r="J7" i="2"/>
  <c r="K7" i="2" s="1"/>
  <c r="K6" i="2"/>
  <c r="J6" i="2"/>
  <c r="K5" i="2"/>
  <c r="J5" i="2"/>
  <c r="J4" i="2"/>
  <c r="K4" i="2" s="1"/>
  <c r="K3" i="2"/>
  <c r="J3" i="2"/>
  <c r="K2" i="2"/>
  <c r="J2" i="2"/>
  <c r="J271" i="1"/>
  <c r="K271" i="1"/>
  <c r="K270" i="1"/>
  <c r="J270" i="1"/>
  <c r="K269" i="1"/>
  <c r="J269" i="1"/>
  <c r="J268" i="1"/>
  <c r="K268" i="1" s="1"/>
  <c r="K267" i="1"/>
  <c r="J267" i="1"/>
  <c r="K266" i="1"/>
  <c r="J266" i="1"/>
  <c r="J265" i="1"/>
  <c r="K265" i="1" s="1"/>
  <c r="K264" i="1"/>
  <c r="J264" i="1"/>
  <c r="K263" i="1"/>
  <c r="J263" i="1"/>
  <c r="J262" i="1"/>
  <c r="K262" i="1" s="1"/>
  <c r="K261" i="1"/>
  <c r="J261" i="1"/>
  <c r="K260" i="1"/>
  <c r="J260" i="1"/>
  <c r="J259" i="1"/>
  <c r="K259" i="1" s="1"/>
  <c r="K258" i="1"/>
  <c r="J258" i="1"/>
  <c r="K257" i="1"/>
  <c r="J257" i="1"/>
  <c r="J256" i="1"/>
  <c r="K256" i="1" s="1"/>
  <c r="K255" i="1"/>
  <c r="J255" i="1"/>
  <c r="K254" i="1"/>
  <c r="J254" i="1"/>
  <c r="J253" i="1"/>
  <c r="K253" i="1" s="1"/>
  <c r="K252" i="1"/>
  <c r="J252" i="1"/>
  <c r="K251" i="1"/>
  <c r="J251" i="1"/>
  <c r="J250" i="1"/>
  <c r="K250" i="1" s="1"/>
  <c r="K249" i="1"/>
  <c r="J249" i="1"/>
  <c r="K248" i="1"/>
  <c r="J248" i="1"/>
  <c r="J247" i="1"/>
  <c r="K247" i="1" s="1"/>
  <c r="K246" i="1"/>
  <c r="J246" i="1"/>
  <c r="K245" i="1"/>
  <c r="J245" i="1"/>
  <c r="J244" i="1"/>
  <c r="K244" i="1" s="1"/>
  <c r="K243" i="1"/>
  <c r="J243" i="1"/>
  <c r="K242" i="1"/>
  <c r="J242" i="1"/>
  <c r="J241" i="1"/>
  <c r="K241" i="1" s="1"/>
  <c r="K240" i="1"/>
  <c r="J240" i="1"/>
  <c r="K239" i="1"/>
  <c r="J239" i="1"/>
  <c r="J238" i="1"/>
  <c r="K238" i="1" s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J226" i="1"/>
  <c r="K226" i="1" s="1"/>
  <c r="K225" i="1"/>
  <c r="J225" i="1"/>
  <c r="K224" i="1"/>
  <c r="J224" i="1"/>
  <c r="J223" i="1"/>
  <c r="K223" i="1" s="1"/>
  <c r="K222" i="1"/>
  <c r="J222" i="1"/>
  <c r="K221" i="1"/>
  <c r="J221" i="1"/>
  <c r="J220" i="1"/>
  <c r="K220" i="1" s="1"/>
  <c r="K219" i="1"/>
  <c r="J219" i="1"/>
  <c r="K218" i="1"/>
  <c r="J218" i="1"/>
  <c r="J217" i="1"/>
  <c r="K217" i="1" s="1"/>
  <c r="K216" i="1"/>
  <c r="J216" i="1"/>
  <c r="K215" i="1"/>
  <c r="J215" i="1"/>
  <c r="J214" i="1"/>
  <c r="K214" i="1" s="1"/>
  <c r="K213" i="1"/>
  <c r="J213" i="1"/>
  <c r="K212" i="1"/>
  <c r="J212" i="1"/>
  <c r="J211" i="1"/>
  <c r="K211" i="1" s="1"/>
  <c r="K210" i="1"/>
  <c r="J210" i="1"/>
  <c r="K209" i="1"/>
  <c r="J209" i="1"/>
  <c r="J208" i="1"/>
  <c r="K208" i="1" s="1"/>
  <c r="K207" i="1"/>
  <c r="J207" i="1"/>
  <c r="K206" i="1"/>
  <c r="J206" i="1"/>
  <c r="J205" i="1"/>
  <c r="K205" i="1" s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J193" i="1"/>
  <c r="K193" i="1" s="1"/>
  <c r="K192" i="1"/>
  <c r="J192" i="1"/>
  <c r="K191" i="1"/>
  <c r="J191" i="1"/>
  <c r="J190" i="1"/>
  <c r="K190" i="1" s="1"/>
  <c r="K189" i="1"/>
  <c r="J189" i="1"/>
  <c r="K188" i="1"/>
  <c r="J188" i="1"/>
  <c r="J187" i="1"/>
  <c r="K187" i="1" s="1"/>
  <c r="K186" i="1"/>
  <c r="J186" i="1"/>
  <c r="K185" i="1"/>
  <c r="J185" i="1"/>
  <c r="J184" i="1"/>
  <c r="K184" i="1" s="1"/>
  <c r="K183" i="1"/>
  <c r="J183" i="1"/>
  <c r="K182" i="1"/>
  <c r="J182" i="1"/>
  <c r="J181" i="1"/>
  <c r="K181" i="1" s="1"/>
  <c r="K180" i="1"/>
  <c r="J180" i="1"/>
  <c r="K179" i="1"/>
  <c r="J179" i="1"/>
  <c r="J178" i="1"/>
  <c r="K178" i="1" s="1"/>
  <c r="K177" i="1"/>
  <c r="J177" i="1"/>
  <c r="K176" i="1"/>
  <c r="J176" i="1"/>
  <c r="J175" i="1"/>
  <c r="K175" i="1" s="1"/>
  <c r="K174" i="1"/>
  <c r="J174" i="1"/>
  <c r="K173" i="1"/>
  <c r="J173" i="1"/>
  <c r="J172" i="1"/>
  <c r="K172" i="1" s="1"/>
  <c r="K171" i="1"/>
  <c r="J171" i="1"/>
  <c r="K170" i="1"/>
  <c r="J170" i="1"/>
  <c r="J169" i="1"/>
  <c r="K169" i="1" s="1"/>
  <c r="K168" i="1"/>
  <c r="J168" i="1"/>
  <c r="K167" i="1"/>
  <c r="J167" i="1"/>
  <c r="J166" i="1"/>
  <c r="K166" i="1" s="1"/>
  <c r="K165" i="1"/>
  <c r="J165" i="1"/>
  <c r="K164" i="1"/>
  <c r="J164" i="1"/>
  <c r="J163" i="1"/>
  <c r="K163" i="1" s="1"/>
  <c r="K162" i="1"/>
  <c r="J162" i="1"/>
  <c r="K161" i="1"/>
  <c r="J161" i="1"/>
  <c r="J160" i="1"/>
  <c r="K160" i="1" s="1"/>
  <c r="K159" i="1"/>
  <c r="J159" i="1"/>
  <c r="K158" i="1"/>
  <c r="J158" i="1"/>
  <c r="J157" i="1"/>
  <c r="K157" i="1" s="1"/>
  <c r="K156" i="1"/>
  <c r="J156" i="1"/>
  <c r="K155" i="1"/>
  <c r="J155" i="1"/>
  <c r="J154" i="1"/>
  <c r="K154" i="1" s="1"/>
  <c r="K153" i="1"/>
  <c r="J153" i="1"/>
  <c r="K152" i="1"/>
  <c r="J152" i="1"/>
  <c r="J151" i="1"/>
  <c r="K151" i="1" s="1"/>
  <c r="K150" i="1"/>
  <c r="J150" i="1"/>
  <c r="K149" i="1"/>
  <c r="J149" i="1"/>
  <c r="J148" i="1"/>
  <c r="K148" i="1" s="1"/>
  <c r="K147" i="1"/>
  <c r="J147" i="1"/>
  <c r="K146" i="1"/>
  <c r="J146" i="1"/>
  <c r="J145" i="1"/>
  <c r="K145" i="1" s="1"/>
  <c r="K144" i="1"/>
  <c r="J144" i="1"/>
  <c r="K143" i="1"/>
  <c r="J143" i="1"/>
  <c r="J142" i="1"/>
  <c r="K142" i="1" s="1"/>
  <c r="K141" i="1"/>
  <c r="J141" i="1"/>
  <c r="K140" i="1"/>
  <c r="J140" i="1"/>
  <c r="J139" i="1"/>
  <c r="K139" i="1" s="1"/>
  <c r="K138" i="1"/>
  <c r="J138" i="1"/>
  <c r="K137" i="1"/>
  <c r="J137" i="1"/>
  <c r="J136" i="1"/>
  <c r="K136" i="1" s="1"/>
  <c r="K135" i="1"/>
  <c r="J135" i="1"/>
  <c r="K134" i="1"/>
  <c r="J134" i="1"/>
  <c r="J133" i="1"/>
  <c r="K133" i="1" s="1"/>
  <c r="K132" i="1"/>
  <c r="J132" i="1"/>
  <c r="K131" i="1"/>
  <c r="J131" i="1"/>
  <c r="J130" i="1"/>
  <c r="K130" i="1" s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J115" i="1"/>
  <c r="K115" i="1" s="1"/>
  <c r="K114" i="1"/>
  <c r="J114" i="1"/>
  <c r="K113" i="1"/>
  <c r="J113" i="1"/>
  <c r="J112" i="1"/>
  <c r="K112" i="1" s="1"/>
  <c r="K111" i="1"/>
  <c r="J111" i="1"/>
  <c r="K110" i="1"/>
  <c r="J110" i="1"/>
  <c r="J109" i="1"/>
  <c r="K109" i="1" s="1"/>
  <c r="K108" i="1"/>
  <c r="J108" i="1"/>
  <c r="K107" i="1"/>
  <c r="J107" i="1"/>
  <c r="J106" i="1"/>
  <c r="K106" i="1" s="1"/>
  <c r="K105" i="1"/>
  <c r="J105" i="1"/>
  <c r="K104" i="1"/>
  <c r="J104" i="1"/>
  <c r="J103" i="1"/>
  <c r="K103" i="1" s="1"/>
  <c r="K102" i="1"/>
  <c r="J102" i="1"/>
  <c r="K101" i="1"/>
  <c r="J101" i="1"/>
  <c r="J100" i="1"/>
  <c r="K100" i="1" s="1"/>
  <c r="K99" i="1"/>
  <c r="J99" i="1"/>
  <c r="K98" i="1"/>
  <c r="J98" i="1"/>
  <c r="J97" i="1"/>
  <c r="K97" i="1" s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J82" i="1"/>
  <c r="K82" i="1" s="1"/>
  <c r="K81" i="1"/>
  <c r="J81" i="1"/>
  <c r="K80" i="1"/>
  <c r="J80" i="1"/>
  <c r="J79" i="1"/>
  <c r="K79" i="1" s="1"/>
  <c r="K78" i="1"/>
  <c r="J78" i="1"/>
  <c r="K77" i="1"/>
  <c r="J77" i="1"/>
  <c r="J76" i="1"/>
  <c r="K76" i="1" s="1"/>
  <c r="K75" i="1"/>
  <c r="J75" i="1"/>
  <c r="K74" i="1"/>
  <c r="J74" i="1"/>
  <c r="J73" i="1"/>
  <c r="K73" i="1" s="1"/>
  <c r="K72" i="1"/>
  <c r="J72" i="1"/>
  <c r="K71" i="1"/>
  <c r="J71" i="1"/>
  <c r="J70" i="1"/>
  <c r="K70" i="1" s="1"/>
  <c r="K69" i="1"/>
  <c r="J69" i="1"/>
  <c r="K68" i="1"/>
  <c r="J68" i="1"/>
  <c r="J67" i="1"/>
  <c r="K67" i="1" s="1"/>
  <c r="K66" i="1"/>
  <c r="J66" i="1"/>
  <c r="K65" i="1"/>
  <c r="J65" i="1"/>
  <c r="J64" i="1"/>
  <c r="K64" i="1" s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J31" i="1"/>
  <c r="K31" i="1" s="1"/>
  <c r="K30" i="1"/>
  <c r="J30" i="1"/>
  <c r="K29" i="1"/>
  <c r="J29" i="1"/>
  <c r="J28" i="1"/>
  <c r="K28" i="1" s="1"/>
  <c r="K27" i="1"/>
  <c r="J27" i="1"/>
  <c r="K26" i="1"/>
  <c r="J26" i="1"/>
  <c r="J25" i="1"/>
  <c r="K25" i="1" s="1"/>
  <c r="K24" i="1"/>
  <c r="J24" i="1"/>
  <c r="K23" i="1"/>
  <c r="J23" i="1"/>
  <c r="J22" i="1"/>
  <c r="K22" i="1" s="1"/>
  <c r="K21" i="1"/>
  <c r="J21" i="1"/>
  <c r="K20" i="1"/>
  <c r="J20" i="1"/>
  <c r="J19" i="1"/>
  <c r="K19" i="1" s="1"/>
  <c r="K18" i="1"/>
  <c r="J18" i="1"/>
  <c r="K17" i="1"/>
  <c r="J17" i="1"/>
  <c r="J16" i="1"/>
  <c r="K16" i="1" s="1"/>
  <c r="K15" i="1"/>
  <c r="J15" i="1"/>
  <c r="K14" i="1"/>
  <c r="J14" i="1"/>
  <c r="J13" i="1"/>
  <c r="K13" i="1" s="1"/>
  <c r="K12" i="1"/>
  <c r="J12" i="1"/>
  <c r="K11" i="1"/>
  <c r="J11" i="1"/>
  <c r="J10" i="1"/>
  <c r="K10" i="1" s="1"/>
  <c r="K9" i="1"/>
  <c r="J9" i="1"/>
  <c r="K8" i="1"/>
  <c r="J8" i="1"/>
  <c r="J7" i="1"/>
  <c r="K7" i="1" s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<sst xmlns="http://schemas.openxmlformats.org/spreadsheetml/2006/main" count="1028" uniqueCount="51">
  <si>
    <t>日期</t>
  </si>
  <si>
    <t>時間</t>
  </si>
  <si>
    <t>測試槽</t>
    <phoneticPr fontId="2" type="noConversion"/>
  </si>
  <si>
    <t>泵浦編號</t>
  </si>
  <si>
    <t>序號</t>
  </si>
  <si>
    <t>定子溫度 A</t>
    <phoneticPr fontId="2" type="noConversion"/>
  </si>
  <si>
    <t>定子溫度 B</t>
  </si>
  <si>
    <t>環境溫度</t>
    <phoneticPr fontId="2" type="noConversion"/>
  </si>
  <si>
    <t>運轉電流 (A)</t>
    <phoneticPr fontId="2" type="noConversion"/>
  </si>
  <si>
    <r>
      <t>泵浦</t>
    </r>
    <r>
      <rPr>
        <b/>
        <sz val="12"/>
        <color theme="0"/>
        <rFont val="Microsoft YaHei"/>
        <family val="2"/>
        <charset val="134"/>
      </rPr>
      <t xml:space="preserve"> HP</t>
    </r>
    <phoneticPr fontId="2" type="noConversion"/>
  </si>
  <si>
    <r>
      <t>Al</t>
    </r>
    <r>
      <rPr>
        <b/>
        <sz val="12"/>
        <color theme="0"/>
        <rFont val="Microsoft YaHei"/>
        <family val="2"/>
        <charset val="134"/>
      </rPr>
      <t>arm</t>
    </r>
    <phoneticPr fontId="2" type="noConversion"/>
  </si>
  <si>
    <t>1號水槽水溫度</t>
    <phoneticPr fontId="2" type="noConversion"/>
  </si>
  <si>
    <t>2號水槽水溫度</t>
    <phoneticPr fontId="2" type="noConversion"/>
  </si>
  <si>
    <t>運行狀態</t>
  </si>
  <si>
    <t>備註</t>
  </si>
  <si>
    <t>1號水槽</t>
    <phoneticPr fontId="2" type="noConversion"/>
  </si>
  <si>
    <t>P-01</t>
  </si>
  <si>
    <t>待機</t>
  </si>
  <si>
    <t>測試開始前</t>
    <phoneticPr fontId="2" type="noConversion"/>
  </si>
  <si>
    <t>1號水槽</t>
  </si>
  <si>
    <t>P-02</t>
  </si>
  <si>
    <t>--</t>
    <phoneticPr fontId="2" type="noConversion"/>
  </si>
  <si>
    <t>測試開始前</t>
  </si>
  <si>
    <t>P-05</t>
  </si>
  <si>
    <t>P-06</t>
  </si>
  <si>
    <t>P-09</t>
  </si>
  <si>
    <t>P-10</t>
  </si>
  <si>
    <t>啟動中</t>
    <phoneticPr fontId="2" type="noConversion"/>
  </si>
  <si>
    <t>運行中</t>
  </si>
  <si>
    <t>安裝首日-第1時</t>
    <phoneticPr fontId="2" type="noConversion"/>
  </si>
  <si>
    <t>2號水槽</t>
    <phoneticPr fontId="2" type="noConversion"/>
  </si>
  <si>
    <t>P-03</t>
  </si>
  <si>
    <t>2號水槽</t>
  </si>
  <si>
    <t>P-04</t>
  </si>
  <si>
    <t>P-07</t>
  </si>
  <si>
    <t>P-11</t>
  </si>
  <si>
    <t>P-12</t>
  </si>
  <si>
    <t>NA</t>
  </si>
  <si>
    <t>安裝首日-第0時-啟動電流: 14.1A</t>
    <phoneticPr fontId="2" type="noConversion"/>
  </si>
  <si>
    <t>安裝首日-第0時-啟動電流: 11.7A</t>
    <phoneticPr fontId="2" type="noConversion"/>
  </si>
  <si>
    <t>安裝首日-第0時-啟動電流: 10.1A</t>
    <phoneticPr fontId="2" type="noConversion"/>
  </si>
  <si>
    <t>安裝首日-第0時-啟動電流: 14.4A</t>
    <phoneticPr fontId="2" type="noConversion"/>
  </si>
  <si>
    <t>安裝首日-第0時-啟動電流: 26.2A</t>
    <phoneticPr fontId="2" type="noConversion"/>
  </si>
  <si>
    <t>正常</t>
  </si>
  <si>
    <t>安裝首日-第2時</t>
    <phoneticPr fontId="2" type="noConversion"/>
  </si>
  <si>
    <t>安裝首日-第3時</t>
    <phoneticPr fontId="2" type="noConversion"/>
  </si>
  <si>
    <t>安裝首日-第5時</t>
    <phoneticPr fontId="2" type="noConversion"/>
  </si>
  <si>
    <t>安裝首日-第4時</t>
    <phoneticPr fontId="2" type="noConversion"/>
  </si>
  <si>
    <t>安裝首日-第6時</t>
    <phoneticPr fontId="2" type="noConversion"/>
  </si>
  <si>
    <t>安裝首日-第7時</t>
    <phoneticPr fontId="2" type="noConversion"/>
  </si>
  <si>
    <t>安裝首日-第8時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</si>
</sst>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°C&quot;"/>
  </numFmts>
  <fonts count="7">
    <font>
      <sz val="12"/>
      <color theme="1"/>
      <name val="Taipei Sans TC Beta"/>
      <family val="2"/>
      <charset val="136"/>
      <scheme val="minor"/>
    </font>
    <font>
      <b/>
      <sz val="12"/>
      <color theme="0"/>
      <name val="微軟正黑體"/>
      <family val="2"/>
      <charset val="136"/>
    </font>
    <font>
      <sz val="9"/>
      <name val="Taipei Sans TC Beta"/>
      <family val="2"/>
      <charset val="136"/>
      <scheme val="minor"/>
    </font>
    <font>
      <b/>
      <sz val="12"/>
      <color theme="0"/>
      <name val="Microsoft YaHei"/>
      <family val="2"/>
      <charset val="134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20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19">
    <dxf>
      <font>
        <color theme="6"/>
      </font>
      <fill>
        <patternFill>
          <bgColor rgb="FFFFE7EE"/>
        </patternFill>
      </fill>
    </dxf>
    <dxf>
      <font>
        <color theme="6"/>
      </font>
      <fill>
        <patternFill>
          <bgColor rgb="FFFFE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0.0&quot;°C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0.0&quot;°C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76" formatCode="0.0&quot;°C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icrosoft YaHei"/>
        <family val="2"/>
        <charset val="134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mara_trejos\Desktop\&#27745;&#29289;&#27893;&#28006;_&#22781;&#21629;&#28204;&#35430;&#36914;&#24230;&#22577;&#21578;_20260211.xlsx" TargetMode="External"/><Relationship Id="rId1" Type="http://schemas.openxmlformats.org/officeDocument/2006/relationships/externalLinkPath" Target="&#27745;&#29289;&#27893;&#28006;_&#22781;&#21629;&#28204;&#35430;&#36914;&#24230;&#22577;&#21578;_202602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監測總表"/>
      <sheetName val="定子溫度-分析表"/>
      <sheetName val="溫度提昇-分析表"/>
      <sheetName val="數據分析"/>
      <sheetName val="Main Report"/>
      <sheetName val="PRINT"/>
      <sheetName val="設備資料"/>
      <sheetName val="其他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泵浦編號 (ID)</v>
          </cell>
          <cell r="B1" t="str">
            <v>泵浦型式</v>
          </cell>
          <cell r="C1" t="str">
            <v>鐵牌序號 (S/N)</v>
          </cell>
          <cell r="D1" t="str">
            <v xml:space="preserve">ISO序號 </v>
          </cell>
          <cell r="E1" t="str">
            <v>馬力 (HP)</v>
          </cell>
        </row>
        <row r="2">
          <cell r="A2" t="str">
            <v>P-01</v>
          </cell>
          <cell r="B2" t="str">
            <v>PSI80-2-1.5V</v>
          </cell>
          <cell r="C2">
            <v>202510001</v>
          </cell>
          <cell r="D2" t="str">
            <v>NA</v>
          </cell>
          <cell r="E2">
            <v>2</v>
          </cell>
        </row>
        <row r="3">
          <cell r="A3" t="str">
            <v>P-02</v>
          </cell>
          <cell r="B3" t="str">
            <v>PSI80-2-1.5V</v>
          </cell>
          <cell r="C3">
            <v>202510006</v>
          </cell>
          <cell r="D3" t="str">
            <v>NA</v>
          </cell>
          <cell r="E3">
            <v>2</v>
          </cell>
        </row>
        <row r="4">
          <cell r="A4" t="str">
            <v>P-03</v>
          </cell>
          <cell r="B4" t="str">
            <v>PSI80-2-1.5V</v>
          </cell>
          <cell r="C4">
            <v>202510024</v>
          </cell>
          <cell r="D4">
            <v>251200457</v>
          </cell>
          <cell r="E4">
            <v>2</v>
          </cell>
        </row>
        <row r="5">
          <cell r="A5" t="str">
            <v>P-04</v>
          </cell>
          <cell r="B5" t="str">
            <v>PSI80-2-1.5V</v>
          </cell>
          <cell r="C5">
            <v>202510026</v>
          </cell>
          <cell r="D5">
            <v>251200462</v>
          </cell>
          <cell r="E5">
            <v>2</v>
          </cell>
        </row>
        <row r="6">
          <cell r="A6" t="str">
            <v>P-05</v>
          </cell>
          <cell r="B6" t="str">
            <v>PSI80-2-2.2V</v>
          </cell>
          <cell r="C6">
            <v>202511011</v>
          </cell>
          <cell r="D6">
            <v>251200524</v>
          </cell>
          <cell r="E6">
            <v>3</v>
          </cell>
        </row>
        <row r="7">
          <cell r="A7" t="str">
            <v>P-06</v>
          </cell>
          <cell r="B7" t="str">
            <v>PSI80-2-2.2V</v>
          </cell>
          <cell r="C7">
            <v>202511012</v>
          </cell>
          <cell r="D7" t="str">
            <v>NA</v>
          </cell>
          <cell r="E7">
            <v>3</v>
          </cell>
        </row>
        <row r="8">
          <cell r="A8" t="str">
            <v>P-07</v>
          </cell>
          <cell r="B8" t="str">
            <v>PSI80-2-2.2V</v>
          </cell>
          <cell r="C8">
            <v>202511017</v>
          </cell>
          <cell r="D8">
            <v>251200529</v>
          </cell>
          <cell r="E8">
            <v>3</v>
          </cell>
        </row>
        <row r="9">
          <cell r="A9" t="str">
            <v>P-08</v>
          </cell>
          <cell r="B9" t="str">
            <v>PSI80-2-2.2V</v>
          </cell>
          <cell r="C9">
            <v>202511019</v>
          </cell>
          <cell r="D9">
            <v>251200523</v>
          </cell>
          <cell r="E9">
            <v>3</v>
          </cell>
        </row>
        <row r="10">
          <cell r="A10" t="str">
            <v>P-09</v>
          </cell>
          <cell r="B10" t="str">
            <v>PSI80-2-3.7V</v>
          </cell>
          <cell r="C10">
            <v>202511001</v>
          </cell>
          <cell r="D10">
            <v>251200569</v>
          </cell>
          <cell r="E10">
            <v>5</v>
          </cell>
        </row>
        <row r="11">
          <cell r="A11" t="str">
            <v>P-10</v>
          </cell>
          <cell r="B11" t="str">
            <v>PSI80-2-3.7V</v>
          </cell>
          <cell r="C11">
            <v>202511002</v>
          </cell>
          <cell r="D11">
            <v>251200573</v>
          </cell>
          <cell r="E11">
            <v>5</v>
          </cell>
        </row>
        <row r="12">
          <cell r="A12" t="str">
            <v>P-11</v>
          </cell>
          <cell r="B12" t="str">
            <v>PSI80-2-3.7V</v>
          </cell>
          <cell r="C12">
            <v>202511005</v>
          </cell>
          <cell r="D12">
            <v>251200570</v>
          </cell>
          <cell r="E12">
            <v>5</v>
          </cell>
        </row>
        <row r="13">
          <cell r="A13" t="str">
            <v>P-12</v>
          </cell>
          <cell r="B13" t="str">
            <v>PSI80-2-3.7V</v>
          </cell>
          <cell r="C13" t="str">
            <v>NA</v>
          </cell>
          <cell r="D13" t="str">
            <v>NA</v>
          </cell>
          <cell r="E13">
            <v>5</v>
          </cell>
        </row>
      </sheetData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07CAE-23DE-494F-BCE1-7D889AA55880}" name="表格1" displayName="表格1" ref="A1:O271" totalsRowShown="0" headerRowDxfId="18" dataDxfId="17">
  <autoFilter ref="A1:O271" xr:uid="{5E9F2A13-2744-4A35-AF75-10BD26159D2E}"/>
  <tableColumns count="15">
    <tableColumn id="1" xr3:uid="{ED8DF2D9-68F0-4657-8409-570BA4065730}" name="日期" dataDxfId="16"/>
    <tableColumn id="2" xr3:uid="{A99D62A3-E7BF-4A74-B510-399FDD3D4656}" name="時間" dataDxfId="15"/>
    <tableColumn id="3" xr3:uid="{E5B39C77-7C34-4A37-98D2-1002346FCF52}" name="測試槽" dataDxfId="14"/>
    <tableColumn id="4" xr3:uid="{ABC1E5EF-AEEB-4A48-B0EF-CEA53AE28D8E}" name="泵浦編號" dataDxfId="13"/>
    <tableColumn id="5" xr3:uid="{4A51AB6A-C51E-4764-8A18-E36174C7DF49}" name="序號" dataDxfId="12"/>
    <tableColumn id="6" xr3:uid="{E5B30361-84F5-4126-A91A-8270732173ED}" name="定子溫度 A" dataDxfId="11"/>
    <tableColumn id="7" xr3:uid="{C3757737-B442-4208-8B3D-0249AC473962}" name="定子溫度 B" dataDxfId="10"/>
    <tableColumn id="8" xr3:uid="{9FDE1D34-6C54-46F0-BC02-FA70DE8E0076}" name="環境溫度" dataDxfId="9"/>
    <tableColumn id="9" xr3:uid="{34123F9C-E665-4A33-B5A5-5B5FA845E7A1}" name="運轉電流 (A)" dataDxfId="8"/>
    <tableColumn id="10" xr3:uid="{E3BFE2E5-41BC-41EE-B0D9-F136B7E7654B}" name="泵浦 HP" dataDxfId="7">
      <calculatedColumnFormula>VLOOKUP(D2, [1]設備資料!$A:$E, 5, 0)</calculatedColumnFormula>
    </tableColumn>
    <tableColumn id="11" xr3:uid="{2746777A-3574-4D9B-BFD4-9455BEF7D7C2}" name="Alarm" dataDxfId="6">
      <calculatedColumnFormula>IF(I2="", 0, IF(OR(I2=0, AND(J2=2, I2&gt;6.6), AND(J2=3, I2&gt;8.6), AND(J2=5, I2&gt;14.1)), 1, 0))</calculatedColumnFormula>
    </tableColumn>
    <tableColumn id="12" xr3:uid="{3AD7B812-8292-44DC-B638-947B80C36FDE}" name="1號水槽水溫度" dataDxfId="5"/>
    <tableColumn id="13" xr3:uid="{0A8FA4EF-765A-4842-8CC4-B5724033383E}" name="2號水槽水溫度" dataDxfId="4"/>
    <tableColumn id="15" xr3:uid="{AAE59C10-821F-441A-AE5C-BDA6071823E7}" name="運行狀態" dataDxfId="3"/>
    <tableColumn id="16" xr3:uid="{82AFDC19-5252-444A-BA4B-64E32BEA0247}" name="備註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Walrus_PPT">
  <a:themeElements>
    <a:clrScheme name="自訂 5">
      <a:dk1>
        <a:srgbClr val="000000"/>
      </a:dk1>
      <a:lt1>
        <a:srgbClr val="FFFFFF"/>
      </a:lt1>
      <a:dk2>
        <a:srgbClr val="00A1E5"/>
      </a:dk2>
      <a:lt2>
        <a:srgbClr val="FFFFFF"/>
      </a:lt2>
      <a:accent1>
        <a:srgbClr val="00428E"/>
      </a:accent1>
      <a:accent2>
        <a:srgbClr val="FFD900"/>
      </a:accent2>
      <a:accent3>
        <a:srgbClr val="C53A55"/>
      </a:accent3>
      <a:accent4>
        <a:srgbClr val="0D7572"/>
      </a:accent4>
      <a:accent5>
        <a:srgbClr val="FF8F53"/>
      </a:accent5>
      <a:accent6>
        <a:srgbClr val="FFC1D3"/>
      </a:accent6>
      <a:hlink>
        <a:srgbClr val="00428E"/>
      </a:hlink>
      <a:folHlink>
        <a:srgbClr val="595959"/>
      </a:folHlink>
    </a:clrScheme>
    <a:fontScheme name="自訂 11">
      <a:majorFont>
        <a:latin typeface="Inter Bold"/>
        <a:ea typeface="Taipei Sans TC Beta"/>
        <a:cs typeface=""/>
      </a:majorFont>
      <a:minorFont>
        <a:latin typeface="Inter "/>
        <a:ea typeface="Taipei Sans TC Beta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rtlCol="0" anchor="ctr"/>
      <a:lstStyle>
        <a:defPPr algn="ctr">
          <a:defRPr kumimoji="1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Walrus_PPT" id="{8EFBB78E-7774-4EED-86B6-E67856620B9F}" vid="{FB1CB29A-F45E-47F1-9869-D2F492A8F93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6783-A5A5-44AD-843B-21EB8FA7DF88}">
  <dimension ref="A1:S271"/>
  <sheetViews>
    <sheetView tabSelected="1" topLeftCell="A153" zoomScale="70" zoomScaleNormal="70" workbookViewId="0">
      <selection activeCell="B272" sqref="B272"/>
    </sheetView>
  </sheetViews>
  <sheetFormatPr defaultRowHeight="17"/>
  <cols>
    <col min="1" max="1" width="15.90625" style="13" customWidth="1"/>
    <col min="2" max="2" width="11.7265625" style="7" customWidth="1"/>
    <col min="3" max="3" width="14.1796875" style="13" customWidth="1"/>
    <col min="4" max="4" width="14.6328125" style="13" customWidth="1"/>
    <col min="5" max="5" width="16.1796875" style="7" customWidth="1"/>
    <col min="6" max="6" width="15.7265625" style="7" customWidth="1"/>
    <col min="7" max="7" width="19.453125" style="7" customWidth="1"/>
    <col min="8" max="8" width="14.26953125" style="8" customWidth="1"/>
    <col min="9" max="9" width="16.81640625" style="7" customWidth="1"/>
    <col min="10" max="10" width="16.81640625" style="7" hidden="1" customWidth="1"/>
    <col min="11" max="11" width="16.81640625" style="7" customWidth="1"/>
    <col min="12" max="13" width="14.26953125" style="8" customWidth="1"/>
    <col min="14" max="14" width="14.7265625" style="13" hidden="1" customWidth="1"/>
    <col min="15" max="15" width="34.6328125" hidden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1" t="s">
        <v>13</v>
      </c>
      <c r="O1" s="1" t="s">
        <v>14</v>
      </c>
    </row>
    <row r="2" spans="1:15">
      <c r="A2" s="5">
        <v>46057</v>
      </c>
      <c r="B2" s="6">
        <v>0.44444444444444442</v>
      </c>
      <c r="C2" s="6" t="s">
        <v>30</v>
      </c>
      <c r="D2" s="7" t="s">
        <v>31</v>
      </c>
      <c r="E2" s="7">
        <v>202510024</v>
      </c>
      <c r="F2" s="7">
        <v>18</v>
      </c>
      <c r="G2" s="7">
        <v>18.100000000000001</v>
      </c>
      <c r="H2" s="8">
        <v>22</v>
      </c>
      <c r="J2" s="7">
        <f>VLOOKUP(D2, [1]設備資料!$A:$E, 5, 0)</f>
        <v>2</v>
      </c>
      <c r="K2" s="7">
        <f>IF(I2="", 0, IF(OR(I2=0, AND(J2=2, I2&gt;6.6), AND(J2=3, I2&gt;8.6), AND(J2=5, I2&gt;14.1)), 1, 0))</f>
        <v>0</v>
      </c>
      <c r="M2" s="8">
        <v>18.2</v>
      </c>
      <c r="N2" s="7" t="s">
        <v>17</v>
      </c>
      <c r="O2" s="9" t="s">
        <v>18</v>
      </c>
    </row>
    <row r="3" spans="1:15">
      <c r="A3" s="5">
        <v>46057</v>
      </c>
      <c r="B3" s="6">
        <v>0.44444444444444442</v>
      </c>
      <c r="C3" s="6" t="s">
        <v>32</v>
      </c>
      <c r="D3" s="7" t="s">
        <v>33</v>
      </c>
      <c r="E3" s="7">
        <v>202510026</v>
      </c>
      <c r="F3" s="7">
        <v>18.100000000000001</v>
      </c>
      <c r="G3" s="10" t="s">
        <v>21</v>
      </c>
      <c r="H3" s="8">
        <v>22</v>
      </c>
      <c r="J3" s="7">
        <f>VLOOKUP(D3, [1]設備資料!$A:$E, 5, 0)</f>
        <v>2</v>
      </c>
      <c r="K3" s="7">
        <f>IF(I3="", 0, IF(OR(I3=0, AND(J3=2, I3&gt;6.6), AND(J3=3, I3&gt;8.6), AND(J3=5, I3&gt;14.1)), 1, 0))</f>
        <v>0</v>
      </c>
      <c r="M3" s="8">
        <v>18.2</v>
      </c>
      <c r="N3" s="7" t="s">
        <v>17</v>
      </c>
      <c r="O3" s="9" t="s">
        <v>22</v>
      </c>
    </row>
    <row r="4" spans="1:15">
      <c r="A4" s="5">
        <v>46057</v>
      </c>
      <c r="B4" s="6">
        <v>0.44444444444444442</v>
      </c>
      <c r="C4" s="6" t="s">
        <v>32</v>
      </c>
      <c r="D4" s="7" t="s">
        <v>34</v>
      </c>
      <c r="E4" s="7">
        <v>202511017</v>
      </c>
      <c r="F4" s="7">
        <v>18.100000000000001</v>
      </c>
      <c r="G4" s="7">
        <v>18.2</v>
      </c>
      <c r="H4" s="8">
        <v>22</v>
      </c>
      <c r="J4" s="7">
        <f>VLOOKUP(D4, [1]設備資料!$A:$E, 5, 0)</f>
        <v>3</v>
      </c>
      <c r="K4" s="7">
        <f>IF(I4="", 0, IF(OR(I4=0, AND(J4=2, I4&gt;6.6), AND(J4=3, I4&gt;8.6), AND(J4=5, I4&gt;14.1)), 1, 0))</f>
        <v>0</v>
      </c>
      <c r="M4" s="8">
        <v>18.2</v>
      </c>
      <c r="N4" s="7" t="s">
        <v>17</v>
      </c>
      <c r="O4" s="9" t="s">
        <v>22</v>
      </c>
    </row>
    <row r="5" spans="1:15">
      <c r="A5" s="5">
        <v>46057</v>
      </c>
      <c r="B5" s="6">
        <v>0.44444444444444442</v>
      </c>
      <c r="C5" s="6" t="s">
        <v>32</v>
      </c>
      <c r="D5" s="7" t="s">
        <v>35</v>
      </c>
      <c r="E5" s="7">
        <v>202511005</v>
      </c>
      <c r="F5" s="7">
        <v>18.3</v>
      </c>
      <c r="G5" s="7">
        <v>18.3</v>
      </c>
      <c r="H5" s="8">
        <v>22</v>
      </c>
      <c r="J5" s="7">
        <f>VLOOKUP(D5, [1]設備資料!$A:$E, 5, 0)</f>
        <v>5</v>
      </c>
      <c r="K5" s="7">
        <f>IF(I5="", 0, IF(OR(I5=0, AND(J5=2, I5&gt;6.6), AND(J5=3, I5&gt;8.6), AND(J5=5, I5&gt;14.1)), 1, 0))</f>
        <v>0</v>
      </c>
      <c r="M5" s="8">
        <v>18.2</v>
      </c>
      <c r="N5" s="7" t="s">
        <v>17</v>
      </c>
      <c r="O5" s="9" t="s">
        <v>22</v>
      </c>
    </row>
    <row r="6" spans="1:15">
      <c r="A6" s="5">
        <v>46057</v>
      </c>
      <c r="B6" s="6">
        <v>0.44444444444444442</v>
      </c>
      <c r="C6" s="6" t="s">
        <v>32</v>
      </c>
      <c r="D6" s="7" t="s">
        <v>36</v>
      </c>
      <c r="E6" s="7" t="s">
        <v>37</v>
      </c>
      <c r="F6" s="7">
        <v>18.3</v>
      </c>
      <c r="G6" s="7">
        <v>18.3</v>
      </c>
      <c r="H6" s="8">
        <v>22</v>
      </c>
      <c r="J6" s="7">
        <f>VLOOKUP(D6, [1]設備資料!$A:$E, 5, 0)</f>
        <v>5</v>
      </c>
      <c r="K6" s="7">
        <f>IF(I6="", 0, IF(OR(I6=0, AND(J6=2, I6&gt;6.6), AND(J6=3, I6&gt;8.6), AND(J6=5, I6&gt;14.1)), 1, 0))</f>
        <v>0</v>
      </c>
      <c r="M6" s="8">
        <v>18.2</v>
      </c>
      <c r="N6" s="7" t="s">
        <v>17</v>
      </c>
      <c r="O6" s="9" t="s">
        <v>22</v>
      </c>
    </row>
    <row r="7" spans="1:15">
      <c r="A7" s="5">
        <v>46057</v>
      </c>
      <c r="B7" s="6">
        <v>0.44444444444444442</v>
      </c>
      <c r="C7" s="6" t="s">
        <v>32</v>
      </c>
      <c r="D7" s="7" t="s">
        <v>31</v>
      </c>
      <c r="E7" s="7">
        <v>202510024</v>
      </c>
      <c r="F7" s="7">
        <v>39.5</v>
      </c>
      <c r="G7" s="7">
        <v>40</v>
      </c>
      <c r="H7" s="8">
        <v>22</v>
      </c>
      <c r="I7" s="7">
        <v>6.61</v>
      </c>
      <c r="J7" s="7">
        <f>VLOOKUP(D7, [1]設備資料!$A:$E, 5, 0)</f>
        <v>2</v>
      </c>
      <c r="K7" s="7">
        <f>IF(I7="", 0, IF(OR(I7=0, AND(J7=2, I7&gt;6.6), AND(J7=3, I7&gt;8.6), AND(J7=5, I7&gt;14.1)), 1, 0))</f>
        <v>1</v>
      </c>
      <c r="M7" s="8">
        <v>18.399999999999999</v>
      </c>
      <c r="N7" s="7" t="s">
        <v>27</v>
      </c>
      <c r="O7" s="9" t="s">
        <v>38</v>
      </c>
    </row>
    <row r="8" spans="1:15">
      <c r="A8" s="5">
        <v>46057</v>
      </c>
      <c r="B8" s="6">
        <v>0.44513888888888886</v>
      </c>
      <c r="C8" s="6" t="s">
        <v>32</v>
      </c>
      <c r="D8" s="7" t="s">
        <v>33</v>
      </c>
      <c r="E8" s="7">
        <v>202510026</v>
      </c>
      <c r="F8" s="7">
        <v>43.1</v>
      </c>
      <c r="G8" s="10" t="s">
        <v>21</v>
      </c>
      <c r="H8" s="8">
        <v>22</v>
      </c>
      <c r="I8" s="7">
        <v>6.59</v>
      </c>
      <c r="J8" s="7">
        <f>VLOOKUP(D8, [1]設備資料!$A:$E, 5, 0)</f>
        <v>2</v>
      </c>
      <c r="K8" s="7">
        <f>IF(I8="", 0, IF(OR(I8=0, AND(J8=2, I8&gt;6.6), AND(J8=3, I8&gt;8.6), AND(J8=5, I8&gt;14.1)), 1, 0))</f>
        <v>0</v>
      </c>
      <c r="M8" s="8">
        <v>18.399999999999999</v>
      </c>
      <c r="N8" s="7" t="s">
        <v>27</v>
      </c>
      <c r="O8" s="9" t="s">
        <v>39</v>
      </c>
    </row>
    <row r="9" spans="1:15">
      <c r="A9" s="5">
        <v>46057</v>
      </c>
      <c r="B9" s="6">
        <v>0.44583333333333336</v>
      </c>
      <c r="C9" s="6" t="s">
        <v>32</v>
      </c>
      <c r="D9" s="7" t="s">
        <v>34</v>
      </c>
      <c r="E9" s="7">
        <v>202511017</v>
      </c>
      <c r="F9" s="7">
        <v>38.299999999999997</v>
      </c>
      <c r="G9" s="7">
        <v>38.299999999999997</v>
      </c>
      <c r="H9" s="8">
        <v>22</v>
      </c>
      <c r="I9" s="7">
        <v>8.16</v>
      </c>
      <c r="J9" s="7">
        <f>VLOOKUP(D9, [1]設備資料!$A:$E, 5, 0)</f>
        <v>3</v>
      </c>
      <c r="K9" s="7">
        <f>IF(I9="", 0, IF(OR(I9=0, AND(J9=2, I9&gt;6.6), AND(J9=3, I9&gt;8.6), AND(J9=5, I9&gt;14.1)), 1, 0))</f>
        <v>0</v>
      </c>
      <c r="M9" s="8">
        <v>18.399999999999999</v>
      </c>
      <c r="N9" s="7" t="s">
        <v>27</v>
      </c>
      <c r="O9" s="9" t="s">
        <v>40</v>
      </c>
    </row>
    <row r="10" spans="1:15">
      <c r="A10" s="5">
        <v>46057</v>
      </c>
      <c r="B10" s="6">
        <v>0.44722222222222224</v>
      </c>
      <c r="C10" s="6" t="s">
        <v>32</v>
      </c>
      <c r="D10" s="7" t="s">
        <v>35</v>
      </c>
      <c r="E10" s="7">
        <v>202511005</v>
      </c>
      <c r="F10" s="7">
        <v>38.4</v>
      </c>
      <c r="G10" s="7">
        <v>36.200000000000003</v>
      </c>
      <c r="H10" s="8">
        <v>22</v>
      </c>
      <c r="I10" s="7">
        <v>13.39</v>
      </c>
      <c r="J10" s="7">
        <f>VLOOKUP(D10, [1]設備資料!$A:$E, 5, 0)</f>
        <v>5</v>
      </c>
      <c r="K10" s="7">
        <f>IF(I10="", 0, IF(OR(I10=0, AND(J10=2, I10&gt;6.6), AND(J10=3, I10&gt;8.6), AND(J10=5, I10&gt;14.1)), 1, 0))</f>
        <v>0</v>
      </c>
      <c r="M10" s="8">
        <v>18.399999999999999</v>
      </c>
      <c r="N10" s="7" t="s">
        <v>27</v>
      </c>
      <c r="O10" s="9" t="s">
        <v>41</v>
      </c>
    </row>
    <row r="11" spans="1:15">
      <c r="A11" s="5">
        <v>46057</v>
      </c>
      <c r="B11" s="6">
        <v>0.44791666666666669</v>
      </c>
      <c r="C11" s="6" t="s">
        <v>32</v>
      </c>
      <c r="D11" s="7" t="s">
        <v>36</v>
      </c>
      <c r="E11" s="7" t="s">
        <v>37</v>
      </c>
      <c r="F11" s="7">
        <v>32.299999999999997</v>
      </c>
      <c r="G11" s="7">
        <v>31.4</v>
      </c>
      <c r="H11" s="8">
        <v>22</v>
      </c>
      <c r="I11" s="7">
        <v>14.1</v>
      </c>
      <c r="J11" s="7">
        <f>VLOOKUP(D11, [1]設備資料!$A:$E, 5, 0)</f>
        <v>5</v>
      </c>
      <c r="K11" s="7">
        <f>IF(I11="", 0, IF(OR(I11=0, AND(J11=2, I11&gt;6.6), AND(J11=3, I11&gt;8.6), AND(J11=5, I11&gt;14.1)), 1, 0))</f>
        <v>0</v>
      </c>
      <c r="M11" s="8">
        <v>18.399999999999999</v>
      </c>
      <c r="N11" s="7" t="s">
        <v>27</v>
      </c>
      <c r="O11" s="9" t="s">
        <v>42</v>
      </c>
    </row>
    <row r="12" spans="1:15">
      <c r="A12" s="5">
        <v>46057</v>
      </c>
      <c r="B12" s="6">
        <v>0.45833333333333331</v>
      </c>
      <c r="C12" s="6" t="s">
        <v>19</v>
      </c>
      <c r="D12" s="7" t="s">
        <v>16</v>
      </c>
      <c r="E12" s="7">
        <v>202510001</v>
      </c>
      <c r="F12" s="7">
        <v>51.5</v>
      </c>
      <c r="G12" s="7">
        <v>51.7</v>
      </c>
      <c r="H12" s="8">
        <v>26</v>
      </c>
      <c r="I12" s="7">
        <v>6.43</v>
      </c>
      <c r="J12" s="7">
        <f>VLOOKUP(D12, [1]設備資料!$A:$E, 5, 0)</f>
        <v>2</v>
      </c>
      <c r="K12" s="7">
        <f>IF(I12="", 0, IF(OR(I12=0, AND(J12=2, I12&gt;6.6), AND(J12=3, I12&gt;8.6), AND(J12=5, I12&gt;14.1)), 1, 0))</f>
        <v>0</v>
      </c>
      <c r="L12" s="8">
        <v>27.3</v>
      </c>
      <c r="N12" s="7" t="s">
        <v>43</v>
      </c>
      <c r="O12" s="9" t="s">
        <v>44</v>
      </c>
    </row>
    <row r="13" spans="1:15">
      <c r="A13" s="5">
        <v>46057</v>
      </c>
      <c r="B13" s="6">
        <v>0.45902777777777776</v>
      </c>
      <c r="C13" s="6" t="s">
        <v>19</v>
      </c>
      <c r="D13" s="7" t="s">
        <v>20</v>
      </c>
      <c r="E13" s="7">
        <v>202510006</v>
      </c>
      <c r="F13" s="7">
        <v>48</v>
      </c>
      <c r="G13" s="10" t="s">
        <v>21</v>
      </c>
      <c r="H13" s="8">
        <v>26</v>
      </c>
      <c r="I13" s="7">
        <v>6.54</v>
      </c>
      <c r="J13" s="7">
        <f>VLOOKUP(D13, [1]設備資料!$A:$E, 5, 0)</f>
        <v>2</v>
      </c>
      <c r="K13" s="7">
        <f>IF(I13="", 0, IF(OR(I13=0, AND(J13=2, I13&gt;6.6), AND(J13=3, I13&gt;8.6), AND(J13=5, I13&gt;14.1)), 1, 0))</f>
        <v>0</v>
      </c>
      <c r="L13" s="8">
        <v>27.3</v>
      </c>
      <c r="N13" s="7" t="s">
        <v>43</v>
      </c>
      <c r="O13" s="9" t="s">
        <v>44</v>
      </c>
    </row>
    <row r="14" spans="1:15">
      <c r="A14" s="5">
        <v>46057</v>
      </c>
      <c r="B14" s="6">
        <v>0.4597222222222222</v>
      </c>
      <c r="C14" s="6" t="s">
        <v>19</v>
      </c>
      <c r="D14" s="7" t="s">
        <v>23</v>
      </c>
      <c r="E14" s="7">
        <v>202511011</v>
      </c>
      <c r="F14" s="7">
        <v>56.4</v>
      </c>
      <c r="G14" s="7">
        <v>57.1</v>
      </c>
      <c r="H14" s="8">
        <v>26</v>
      </c>
      <c r="I14" s="7">
        <v>7.89</v>
      </c>
      <c r="J14" s="7">
        <f>VLOOKUP(D14, [1]設備資料!$A:$E, 5, 0)</f>
        <v>3</v>
      </c>
      <c r="K14" s="7">
        <f>IF(I14="", 0, IF(OR(I14=0, AND(J14=2, I14&gt;6.6), AND(J14=3, I14&gt;8.6), AND(J14=5, I14&gt;14.1)), 1, 0))</f>
        <v>0</v>
      </c>
      <c r="L14" s="8">
        <v>27.3</v>
      </c>
      <c r="N14" s="7" t="s">
        <v>43</v>
      </c>
      <c r="O14" s="9" t="s">
        <v>44</v>
      </c>
    </row>
    <row r="15" spans="1:15">
      <c r="A15" s="5">
        <v>46057</v>
      </c>
      <c r="B15" s="6">
        <v>0.46041666666666664</v>
      </c>
      <c r="C15" s="6" t="s">
        <v>19</v>
      </c>
      <c r="D15" s="7" t="s">
        <v>24</v>
      </c>
      <c r="E15" s="7">
        <v>202511012</v>
      </c>
      <c r="F15" s="7">
        <v>57.1</v>
      </c>
      <c r="G15" s="10" t="s">
        <v>21</v>
      </c>
      <c r="H15" s="8">
        <v>26</v>
      </c>
      <c r="I15" s="7">
        <v>7.85</v>
      </c>
      <c r="J15" s="7">
        <f>VLOOKUP(D15, [1]設備資料!$A:$E, 5, 0)</f>
        <v>3</v>
      </c>
      <c r="K15" s="7">
        <f>IF(I15="", 0, IF(OR(I15=0, AND(J15=2, I15&gt;6.6), AND(J15=3, I15&gt;8.6), AND(J15=5, I15&gt;14.1)), 1, 0))</f>
        <v>0</v>
      </c>
      <c r="L15" s="8">
        <v>27.3</v>
      </c>
      <c r="N15" s="7" t="s">
        <v>43</v>
      </c>
      <c r="O15" s="9" t="s">
        <v>44</v>
      </c>
    </row>
    <row r="16" spans="1:15">
      <c r="A16" s="5">
        <v>46057</v>
      </c>
      <c r="B16" s="6">
        <v>0.46111111111111114</v>
      </c>
      <c r="C16" s="6" t="s">
        <v>19</v>
      </c>
      <c r="D16" s="7" t="s">
        <v>25</v>
      </c>
      <c r="E16" s="7">
        <v>202511001</v>
      </c>
      <c r="F16" s="7">
        <v>72</v>
      </c>
      <c r="G16" s="7">
        <v>73.099999999999994</v>
      </c>
      <c r="H16" s="8">
        <v>26</v>
      </c>
      <c r="I16" s="7">
        <v>13.35</v>
      </c>
      <c r="J16" s="7">
        <f>VLOOKUP(D16, [1]設備資料!$A:$E, 5, 0)</f>
        <v>5</v>
      </c>
      <c r="K16" s="7">
        <f>IF(I16="", 0, IF(OR(I16=0, AND(J16=2, I16&gt;6.6), AND(J16=3, I16&gt;8.6), AND(J16=5, I16&gt;14.1)), 1, 0))</f>
        <v>0</v>
      </c>
      <c r="L16" s="8">
        <v>27.3</v>
      </c>
      <c r="N16" s="7" t="s">
        <v>43</v>
      </c>
      <c r="O16" s="9" t="s">
        <v>44</v>
      </c>
    </row>
    <row r="17" spans="1:15">
      <c r="A17" s="5">
        <v>46057</v>
      </c>
      <c r="B17" s="6">
        <v>0.46180555555555558</v>
      </c>
      <c r="C17" s="6" t="s">
        <v>19</v>
      </c>
      <c r="D17" s="7" t="s">
        <v>26</v>
      </c>
      <c r="E17" s="7">
        <v>202511002</v>
      </c>
      <c r="F17" s="7">
        <v>72.2</v>
      </c>
      <c r="G17" s="7">
        <v>71.2</v>
      </c>
      <c r="H17" s="8">
        <v>26</v>
      </c>
      <c r="I17" s="7">
        <v>13.15</v>
      </c>
      <c r="J17" s="7">
        <f>VLOOKUP(D17, [1]設備資料!$A:$E, 5, 0)</f>
        <v>5</v>
      </c>
      <c r="K17" s="7">
        <f>IF(I17="", 0, IF(OR(I17=0, AND(J17=2, I17&gt;6.6), AND(J17=3, I17&gt;8.6), AND(J17=5, I17&gt;14.1)), 1, 0))</f>
        <v>0</v>
      </c>
      <c r="L17" s="8">
        <v>27.3</v>
      </c>
      <c r="N17" s="7" t="s">
        <v>43</v>
      </c>
      <c r="O17" s="9" t="s">
        <v>44</v>
      </c>
    </row>
    <row r="18" spans="1:15">
      <c r="A18" s="5">
        <v>46057</v>
      </c>
      <c r="B18" s="6">
        <v>0.4861111111111111</v>
      </c>
      <c r="C18" s="6" t="s">
        <v>32</v>
      </c>
      <c r="D18" s="7" t="s">
        <v>31</v>
      </c>
      <c r="E18" s="7">
        <v>202510024</v>
      </c>
      <c r="F18" s="7">
        <v>51.3</v>
      </c>
      <c r="G18" s="7">
        <v>51.2</v>
      </c>
      <c r="H18" s="8">
        <v>26</v>
      </c>
      <c r="I18" s="7">
        <v>6.28</v>
      </c>
      <c r="J18" s="7">
        <f>VLOOKUP(D18, [1]設備資料!$A:$E, 5, 0)</f>
        <v>2</v>
      </c>
      <c r="K18" s="7">
        <f>IF(I18="", 0, IF(OR(I18=0, AND(J18=2, I18&gt;6.6), AND(J18=3, I18&gt;8.6), AND(J18=5, I18&gt;14.1)), 1, 0))</f>
        <v>0</v>
      </c>
      <c r="M18" s="8">
        <v>26</v>
      </c>
      <c r="N18" s="7" t="s">
        <v>28</v>
      </c>
      <c r="O18" s="9" t="s">
        <v>29</v>
      </c>
    </row>
    <row r="19" spans="1:15">
      <c r="A19" s="5">
        <v>46057</v>
      </c>
      <c r="B19" s="6">
        <v>0.48680555555555555</v>
      </c>
      <c r="C19" s="6" t="s">
        <v>32</v>
      </c>
      <c r="D19" s="7" t="s">
        <v>33</v>
      </c>
      <c r="E19" s="7">
        <v>202510026</v>
      </c>
      <c r="F19" s="7">
        <v>54.5</v>
      </c>
      <c r="G19" s="10" t="s">
        <v>21</v>
      </c>
      <c r="H19" s="8">
        <v>26</v>
      </c>
      <c r="I19" s="7">
        <v>6.32</v>
      </c>
      <c r="J19" s="7">
        <f>VLOOKUP(D19, [1]設備資料!$A:$E, 5, 0)</f>
        <v>2</v>
      </c>
      <c r="K19" s="7">
        <f>IF(I19="", 0, IF(OR(I19=0, AND(J19=2, I19&gt;6.6), AND(J19=3, I19&gt;8.6), AND(J19=5, I19&gt;14.1)), 1, 0))</f>
        <v>0</v>
      </c>
      <c r="M19" s="8">
        <v>26</v>
      </c>
      <c r="N19" s="7" t="s">
        <v>28</v>
      </c>
      <c r="O19" s="9" t="s">
        <v>29</v>
      </c>
    </row>
    <row r="20" spans="1:15">
      <c r="A20" s="5">
        <v>46057</v>
      </c>
      <c r="B20" s="6">
        <v>0.48749999999999999</v>
      </c>
      <c r="C20" s="6" t="s">
        <v>32</v>
      </c>
      <c r="D20" s="7" t="s">
        <v>34</v>
      </c>
      <c r="E20" s="7">
        <v>202511017</v>
      </c>
      <c r="F20" s="7">
        <v>57.1</v>
      </c>
      <c r="G20" s="7">
        <v>57.8</v>
      </c>
      <c r="H20" s="8">
        <v>26</v>
      </c>
      <c r="I20" s="7">
        <v>7.76</v>
      </c>
      <c r="J20" s="7">
        <f>VLOOKUP(D20, [1]設備資料!$A:$E, 5, 0)</f>
        <v>3</v>
      </c>
      <c r="K20" s="7">
        <f>IF(I20="", 0, IF(OR(I20=0, AND(J20=2, I20&gt;6.6), AND(J20=3, I20&gt;8.6), AND(J20=5, I20&gt;14.1)), 1, 0))</f>
        <v>0</v>
      </c>
      <c r="M20" s="8">
        <v>26</v>
      </c>
      <c r="N20" s="7" t="s">
        <v>28</v>
      </c>
      <c r="O20" s="9" t="s">
        <v>29</v>
      </c>
    </row>
    <row r="21" spans="1:15">
      <c r="A21" s="5">
        <v>46057</v>
      </c>
      <c r="B21" s="6">
        <v>0.48888888888888887</v>
      </c>
      <c r="C21" s="6" t="s">
        <v>32</v>
      </c>
      <c r="D21" s="7" t="s">
        <v>35</v>
      </c>
      <c r="E21" s="7">
        <v>202511005</v>
      </c>
      <c r="F21" s="7">
        <v>72.400000000000006</v>
      </c>
      <c r="G21" s="7">
        <v>68.599999999999994</v>
      </c>
      <c r="H21" s="8">
        <v>26</v>
      </c>
      <c r="I21" s="7">
        <v>13.05</v>
      </c>
      <c r="J21" s="7">
        <f>VLOOKUP(D21, [1]設備資料!$A:$E, 5, 0)</f>
        <v>5</v>
      </c>
      <c r="K21" s="7">
        <f>IF(I21="", 0, IF(OR(I21=0, AND(J21=2, I21&gt;6.6), AND(J21=3, I21&gt;8.6), AND(J21=5, I21&gt;14.1)), 1, 0))</f>
        <v>0</v>
      </c>
      <c r="M21" s="8">
        <v>26</v>
      </c>
      <c r="N21" s="7" t="s">
        <v>28</v>
      </c>
      <c r="O21" s="9" t="s">
        <v>29</v>
      </c>
    </row>
    <row r="22" spans="1:15">
      <c r="A22" s="5">
        <v>46057</v>
      </c>
      <c r="B22" s="6">
        <v>0.48958333333333331</v>
      </c>
      <c r="C22" s="6" t="s">
        <v>32</v>
      </c>
      <c r="D22" s="7" t="s">
        <v>36</v>
      </c>
      <c r="E22" s="7" t="s">
        <v>37</v>
      </c>
      <c r="F22" s="7">
        <v>74.2</v>
      </c>
      <c r="G22" s="7">
        <v>70</v>
      </c>
      <c r="H22" s="8">
        <v>26</v>
      </c>
      <c r="I22" s="7">
        <v>13.57</v>
      </c>
      <c r="J22" s="7">
        <f>VLOOKUP(D22, [1]設備資料!$A:$E, 5, 0)</f>
        <v>5</v>
      </c>
      <c r="K22" s="7">
        <f>IF(I22="", 0, IF(OR(I22=0, AND(J22=2, I22&gt;6.6), AND(J22=3, I22&gt;8.6), AND(J22=5, I22&gt;14.1)), 1, 0))</f>
        <v>0</v>
      </c>
      <c r="M22" s="8">
        <v>26</v>
      </c>
      <c r="N22" s="7" t="s">
        <v>28</v>
      </c>
      <c r="O22" s="9" t="s">
        <v>29</v>
      </c>
    </row>
    <row r="23" spans="1:15">
      <c r="A23" s="5">
        <v>46057</v>
      </c>
      <c r="B23" s="6">
        <v>0.5</v>
      </c>
      <c r="C23" s="6" t="s">
        <v>19</v>
      </c>
      <c r="D23" s="7" t="s">
        <v>16</v>
      </c>
      <c r="E23" s="7">
        <v>202510001</v>
      </c>
      <c r="F23" s="7">
        <v>55.3</v>
      </c>
      <c r="G23" s="7">
        <v>55.2</v>
      </c>
      <c r="H23" s="8">
        <v>26</v>
      </c>
      <c r="I23" s="7">
        <v>6.42</v>
      </c>
      <c r="J23" s="7">
        <f>VLOOKUP(D23, [1]設備資料!$A:$E, 5, 0)</f>
        <v>2</v>
      </c>
      <c r="K23" s="7">
        <f>IF(I23="", 0, IF(OR(I23=0, AND(J23=2, I23&gt;6.6), AND(J23=3, I23&gt;8.6), AND(J23=5, I23&gt;14.1)), 1, 0))</f>
        <v>0</v>
      </c>
      <c r="L23" s="8">
        <v>29.2</v>
      </c>
      <c r="N23" s="7" t="s">
        <v>43</v>
      </c>
      <c r="O23" s="9" t="s">
        <v>45</v>
      </c>
    </row>
    <row r="24" spans="1:15">
      <c r="A24" s="5">
        <v>46057</v>
      </c>
      <c r="B24" s="6">
        <v>0.50069444444444444</v>
      </c>
      <c r="C24" s="6" t="s">
        <v>19</v>
      </c>
      <c r="D24" s="7" t="s">
        <v>20</v>
      </c>
      <c r="E24" s="7">
        <v>202510006</v>
      </c>
      <c r="F24" s="7">
        <v>51.3</v>
      </c>
      <c r="G24" s="10" t="s">
        <v>21</v>
      </c>
      <c r="H24" s="8">
        <v>26</v>
      </c>
      <c r="I24" s="7">
        <v>6.63</v>
      </c>
      <c r="J24" s="7">
        <f>VLOOKUP(D24, [1]設備資料!$A:$E, 5, 0)</f>
        <v>2</v>
      </c>
      <c r="K24" s="7">
        <f>IF(I24="", 0, IF(OR(I24=0, AND(J24=2, I24&gt;6.6), AND(J24=3, I24&gt;8.6), AND(J24=5, I24&gt;14.1)), 1, 0))</f>
        <v>1</v>
      </c>
      <c r="L24" s="8">
        <v>29.2</v>
      </c>
      <c r="N24" s="7" t="s">
        <v>43</v>
      </c>
      <c r="O24" s="9" t="s">
        <v>45</v>
      </c>
    </row>
    <row r="25" spans="1:15">
      <c r="A25" s="5">
        <v>46057</v>
      </c>
      <c r="B25" s="6">
        <v>0.50138888888888888</v>
      </c>
      <c r="C25" s="6" t="s">
        <v>19</v>
      </c>
      <c r="D25" s="7" t="s">
        <v>23</v>
      </c>
      <c r="E25" s="7">
        <v>202511011</v>
      </c>
      <c r="F25" s="7">
        <v>60.3</v>
      </c>
      <c r="G25" s="7">
        <v>61.1</v>
      </c>
      <c r="H25" s="8">
        <v>26</v>
      </c>
      <c r="I25" s="7">
        <v>7.72</v>
      </c>
      <c r="J25" s="7">
        <f>VLOOKUP(D25, [1]設備資料!$A:$E, 5, 0)</f>
        <v>3</v>
      </c>
      <c r="K25" s="7">
        <f>IF(I25="", 0, IF(OR(I25=0, AND(J25=2, I25&gt;6.6), AND(J25=3, I25&gt;8.6), AND(J25=5, I25&gt;14.1)), 1, 0))</f>
        <v>0</v>
      </c>
      <c r="L25" s="8">
        <v>29.2</v>
      </c>
      <c r="N25" s="7" t="s">
        <v>43</v>
      </c>
      <c r="O25" s="9" t="s">
        <v>45</v>
      </c>
    </row>
    <row r="26" spans="1:15">
      <c r="A26" s="5">
        <v>46057</v>
      </c>
      <c r="B26" s="6">
        <v>0.50208333333333333</v>
      </c>
      <c r="C26" s="6" t="s">
        <v>19</v>
      </c>
      <c r="D26" s="7" t="s">
        <v>24</v>
      </c>
      <c r="E26" s="7">
        <v>202511012</v>
      </c>
      <c r="F26" s="7">
        <v>60.4</v>
      </c>
      <c r="G26" s="10" t="s">
        <v>21</v>
      </c>
      <c r="H26" s="8">
        <v>26</v>
      </c>
      <c r="I26" s="7">
        <v>7.73</v>
      </c>
      <c r="J26" s="7">
        <f>VLOOKUP(D26, [1]設備資料!$A:$E, 5, 0)</f>
        <v>3</v>
      </c>
      <c r="K26" s="7">
        <f>IF(I26="", 0, IF(OR(I26=0, AND(J26=2, I26&gt;6.6), AND(J26=3, I26&gt;8.6), AND(J26=5, I26&gt;14.1)), 1, 0))</f>
        <v>0</v>
      </c>
      <c r="L26" s="8">
        <v>29.2</v>
      </c>
      <c r="N26" s="7" t="s">
        <v>43</v>
      </c>
      <c r="O26" s="9" t="s">
        <v>45</v>
      </c>
    </row>
    <row r="27" spans="1:15">
      <c r="A27" s="5">
        <v>46057</v>
      </c>
      <c r="B27" s="6">
        <v>0.50277777777777777</v>
      </c>
      <c r="C27" s="6" t="s">
        <v>19</v>
      </c>
      <c r="D27" s="7" t="s">
        <v>25</v>
      </c>
      <c r="E27" s="7">
        <v>202511001</v>
      </c>
      <c r="F27" s="7">
        <v>75.5</v>
      </c>
      <c r="G27" s="7">
        <v>76.5</v>
      </c>
      <c r="H27" s="8">
        <v>26</v>
      </c>
      <c r="I27" s="7">
        <v>13.16</v>
      </c>
      <c r="J27" s="7">
        <f>VLOOKUP(D27, [1]設備資料!$A:$E, 5, 0)</f>
        <v>5</v>
      </c>
      <c r="K27" s="7">
        <f>IF(I27="", 0, IF(OR(I27=0, AND(J27=2, I27&gt;6.6), AND(J27=3, I27&gt;8.6), AND(J27=5, I27&gt;14.1)), 1, 0))</f>
        <v>0</v>
      </c>
      <c r="L27" s="8">
        <v>29.2</v>
      </c>
      <c r="N27" s="7" t="s">
        <v>43</v>
      </c>
      <c r="O27" s="9" t="s">
        <v>45</v>
      </c>
    </row>
    <row r="28" spans="1:15">
      <c r="A28" s="5">
        <v>46057</v>
      </c>
      <c r="B28" s="6">
        <v>0.50347222222222221</v>
      </c>
      <c r="C28" s="6" t="s">
        <v>19</v>
      </c>
      <c r="D28" s="7" t="s">
        <v>26</v>
      </c>
      <c r="E28" s="7">
        <v>202511002</v>
      </c>
      <c r="F28" s="7">
        <v>75.3</v>
      </c>
      <c r="G28" s="7">
        <v>74.2</v>
      </c>
      <c r="H28" s="8">
        <v>26</v>
      </c>
      <c r="I28" s="7">
        <v>13.79</v>
      </c>
      <c r="J28" s="7">
        <f>VLOOKUP(D28, [1]設備資料!$A:$E, 5, 0)</f>
        <v>5</v>
      </c>
      <c r="K28" s="7">
        <f>IF(I28="", 0, IF(OR(I28=0, AND(J28=2, I28&gt;6.6), AND(J28=3, I28&gt;8.6), AND(J28=5, I28&gt;14.1)), 1, 0))</f>
        <v>0</v>
      </c>
      <c r="L28" s="8">
        <v>29.2</v>
      </c>
      <c r="N28" s="7" t="s">
        <v>43</v>
      </c>
      <c r="O28" s="9" t="s">
        <v>45</v>
      </c>
    </row>
    <row r="29" spans="1:15">
      <c r="A29" s="5">
        <v>46057</v>
      </c>
      <c r="B29" s="6">
        <v>0.52777777777777779</v>
      </c>
      <c r="C29" s="6" t="s">
        <v>32</v>
      </c>
      <c r="D29" s="7" t="s">
        <v>31</v>
      </c>
      <c r="E29" s="7">
        <v>202510024</v>
      </c>
      <c r="F29" s="7">
        <v>54.6</v>
      </c>
      <c r="G29" s="7">
        <v>54.7</v>
      </c>
      <c r="H29" s="8">
        <v>26</v>
      </c>
      <c r="I29" s="7">
        <v>6.41</v>
      </c>
      <c r="J29" s="7">
        <f>VLOOKUP(D29, [1]設備資料!$A:$E, 5, 0)</f>
        <v>2</v>
      </c>
      <c r="K29" s="7">
        <f>IF(I29="", 0, IF(OR(I29=0, AND(J29=2, I29&gt;6.6), AND(J29=3, I29&gt;8.6), AND(J29=5, I29&gt;14.1)), 1, 0))</f>
        <v>0</v>
      </c>
      <c r="M29" s="8">
        <v>27.8</v>
      </c>
      <c r="N29" s="7" t="s">
        <v>43</v>
      </c>
      <c r="O29" s="9" t="s">
        <v>45</v>
      </c>
    </row>
    <row r="30" spans="1:15">
      <c r="A30" s="5">
        <v>46057</v>
      </c>
      <c r="B30" s="6">
        <v>0.52847222222222223</v>
      </c>
      <c r="C30" s="6" t="s">
        <v>32</v>
      </c>
      <c r="D30" s="7" t="s">
        <v>33</v>
      </c>
      <c r="E30" s="7">
        <v>202510026</v>
      </c>
      <c r="F30" s="7">
        <v>59.9</v>
      </c>
      <c r="G30" s="10" t="s">
        <v>21</v>
      </c>
      <c r="H30" s="8">
        <v>26</v>
      </c>
      <c r="I30" s="7">
        <v>6.2</v>
      </c>
      <c r="J30" s="7">
        <f>VLOOKUP(D30, [1]設備資料!$A:$E, 5, 0)</f>
        <v>2</v>
      </c>
      <c r="K30" s="7">
        <f>IF(I30="", 0, IF(OR(I30=0, AND(J30=2, I30&gt;6.6), AND(J30=3, I30&gt;8.6), AND(J30=5, I30&gt;14.1)), 1, 0))</f>
        <v>0</v>
      </c>
      <c r="M30" s="8">
        <v>27.8</v>
      </c>
      <c r="N30" s="7" t="s">
        <v>43</v>
      </c>
      <c r="O30" s="9" t="s">
        <v>45</v>
      </c>
    </row>
    <row r="31" spans="1:15">
      <c r="A31" s="5">
        <v>46057</v>
      </c>
      <c r="B31" s="6">
        <v>0.52916666666666667</v>
      </c>
      <c r="C31" s="6" t="s">
        <v>32</v>
      </c>
      <c r="D31" s="7" t="s">
        <v>34</v>
      </c>
      <c r="E31" s="7">
        <v>202511017</v>
      </c>
      <c r="F31" s="7">
        <v>61.4</v>
      </c>
      <c r="G31" s="7">
        <v>61.8</v>
      </c>
      <c r="H31" s="8">
        <v>26</v>
      </c>
      <c r="I31" s="7">
        <v>7.77</v>
      </c>
      <c r="J31" s="7">
        <f>VLOOKUP(D31, [1]設備資料!$A:$E, 5, 0)</f>
        <v>3</v>
      </c>
      <c r="K31" s="7">
        <f>IF(I31="", 0, IF(OR(I31=0, AND(J31=2, I31&gt;6.6), AND(J31=3, I31&gt;8.6), AND(J31=5, I31&gt;14.1)), 1, 0))</f>
        <v>0</v>
      </c>
      <c r="M31" s="8">
        <v>27.8</v>
      </c>
      <c r="N31" s="7" t="s">
        <v>43</v>
      </c>
      <c r="O31" s="9" t="s">
        <v>45</v>
      </c>
    </row>
    <row r="32" spans="1:15">
      <c r="A32" s="5">
        <v>46057</v>
      </c>
      <c r="B32" s="6">
        <v>0.53055555555555556</v>
      </c>
      <c r="C32" s="6" t="s">
        <v>32</v>
      </c>
      <c r="D32" s="7" t="s">
        <v>35</v>
      </c>
      <c r="E32" s="7">
        <v>202511005</v>
      </c>
      <c r="F32" s="7">
        <v>76.400000000000006</v>
      </c>
      <c r="G32" s="7">
        <v>72</v>
      </c>
      <c r="H32" s="8">
        <v>26</v>
      </c>
      <c r="I32" s="7">
        <v>13.32</v>
      </c>
      <c r="J32" s="7">
        <f>VLOOKUP(D32, [1]設備資料!$A:$E, 5, 0)</f>
        <v>5</v>
      </c>
      <c r="K32" s="7">
        <f>IF(I32="", 0, IF(OR(I32=0, AND(J32=2, I32&gt;6.6), AND(J32=3, I32&gt;8.6), AND(J32=5, I32&gt;14.1)), 1, 0))</f>
        <v>0</v>
      </c>
      <c r="M32" s="8">
        <v>27.8</v>
      </c>
      <c r="N32" s="7" t="s">
        <v>43</v>
      </c>
      <c r="O32" s="9" t="s">
        <v>45</v>
      </c>
    </row>
    <row r="33" spans="1:15">
      <c r="A33" s="5">
        <v>46057</v>
      </c>
      <c r="B33" s="6">
        <v>0.53125</v>
      </c>
      <c r="C33" s="6" t="s">
        <v>32</v>
      </c>
      <c r="D33" s="7" t="s">
        <v>36</v>
      </c>
      <c r="E33" s="7" t="s">
        <v>37</v>
      </c>
      <c r="F33" s="7">
        <v>77</v>
      </c>
      <c r="G33" s="7">
        <v>72.400000000000006</v>
      </c>
      <c r="H33" s="8">
        <v>26</v>
      </c>
      <c r="I33" s="7">
        <v>13.16</v>
      </c>
      <c r="J33" s="7">
        <f>VLOOKUP(D33, [1]設備資料!$A:$E, 5, 0)</f>
        <v>5</v>
      </c>
      <c r="K33" s="7">
        <f>IF(I33="", 0, IF(OR(I33=0, AND(J33=2, I33&gt;6.6), AND(J33=3, I33&gt;8.6), AND(J33=5, I33&gt;14.1)), 1, 0))</f>
        <v>0</v>
      </c>
      <c r="M33" s="8">
        <v>27.8</v>
      </c>
      <c r="N33" s="7" t="s">
        <v>43</v>
      </c>
      <c r="O33" s="9" t="s">
        <v>45</v>
      </c>
    </row>
    <row r="34" spans="1:15">
      <c r="A34" s="5">
        <v>46057</v>
      </c>
      <c r="B34" s="6">
        <v>0.58333333333333337</v>
      </c>
      <c r="C34" s="6" t="s">
        <v>19</v>
      </c>
      <c r="D34" s="7" t="s">
        <v>16</v>
      </c>
      <c r="E34" s="7">
        <v>202510001</v>
      </c>
      <c r="F34" s="7">
        <v>56.8</v>
      </c>
      <c r="G34" s="7">
        <v>56.9</v>
      </c>
      <c r="H34" s="8">
        <v>28</v>
      </c>
      <c r="I34" s="10"/>
      <c r="J34" s="7">
        <f>VLOOKUP(D34, [1]設備資料!$A:$E, 5, 0)</f>
        <v>2</v>
      </c>
      <c r="K34" s="7">
        <f>IF(I34="", 0, IF(OR(I34=0, AND(J34=2, I34&gt;6.6), AND(J34=3, I34&gt;8.6), AND(J34=5, I34&gt;14.1)), 1, 0))</f>
        <v>0</v>
      </c>
      <c r="L34" s="8">
        <v>27.3</v>
      </c>
      <c r="N34" s="7" t="s">
        <v>43</v>
      </c>
      <c r="O34" s="9" t="s">
        <v>46</v>
      </c>
    </row>
    <row r="35" spans="1:15">
      <c r="A35" s="5">
        <v>46057</v>
      </c>
      <c r="B35" s="6">
        <v>0.58333333333333337</v>
      </c>
      <c r="C35" s="6" t="s">
        <v>19</v>
      </c>
      <c r="D35" s="7" t="s">
        <v>20</v>
      </c>
      <c r="E35" s="7">
        <v>202510006</v>
      </c>
      <c r="F35" s="7">
        <v>53</v>
      </c>
      <c r="G35" s="10" t="s">
        <v>21</v>
      </c>
      <c r="H35" s="8">
        <v>28</v>
      </c>
      <c r="I35" s="10"/>
      <c r="J35" s="7">
        <f>VLOOKUP(D35, [1]設備資料!$A:$E, 5, 0)</f>
        <v>2</v>
      </c>
      <c r="K35" s="7">
        <f>IF(I35="", 0, IF(OR(I35=0, AND(J35=2, I35&gt;6.6), AND(J35=3, I35&gt;8.6), AND(J35=5, I35&gt;14.1)), 1, 0))</f>
        <v>0</v>
      </c>
      <c r="L35" s="8">
        <v>27.3</v>
      </c>
      <c r="N35" s="7" t="s">
        <v>43</v>
      </c>
      <c r="O35" s="9" t="s">
        <v>46</v>
      </c>
    </row>
    <row r="36" spans="1:15">
      <c r="A36" s="5">
        <v>46057</v>
      </c>
      <c r="B36" s="6">
        <v>0.58333333333333337</v>
      </c>
      <c r="C36" s="6" t="s">
        <v>19</v>
      </c>
      <c r="D36" s="7" t="s">
        <v>23</v>
      </c>
      <c r="E36" s="7">
        <v>202511011</v>
      </c>
      <c r="F36" s="7">
        <v>62.3</v>
      </c>
      <c r="G36" s="7">
        <v>63.2</v>
      </c>
      <c r="H36" s="8">
        <v>28</v>
      </c>
      <c r="J36" s="7">
        <f>VLOOKUP(D36, [1]設備資料!$A:$E, 5, 0)</f>
        <v>3</v>
      </c>
      <c r="K36" s="7">
        <f>IF(I36="", 0, IF(OR(I36=0, AND(J36=2, I36&gt;6.6), AND(J36=3, I36&gt;8.6), AND(J36=5, I36&gt;14.1)), 1, 0))</f>
        <v>0</v>
      </c>
      <c r="L36" s="8">
        <v>27.3</v>
      </c>
      <c r="N36" s="7" t="s">
        <v>43</v>
      </c>
      <c r="O36" s="9" t="s">
        <v>46</v>
      </c>
    </row>
    <row r="37" spans="1:15">
      <c r="A37" s="5">
        <v>46057</v>
      </c>
      <c r="B37" s="6">
        <v>0.58333333333333337</v>
      </c>
      <c r="C37" s="6" t="s">
        <v>19</v>
      </c>
      <c r="D37" s="7" t="s">
        <v>24</v>
      </c>
      <c r="E37" s="7">
        <v>202511012</v>
      </c>
      <c r="F37" s="7">
        <v>62.6</v>
      </c>
      <c r="G37" s="10" t="s">
        <v>21</v>
      </c>
      <c r="H37" s="8">
        <v>28</v>
      </c>
      <c r="J37" s="7">
        <f>VLOOKUP(D37, [1]設備資料!$A:$E, 5, 0)</f>
        <v>3</v>
      </c>
      <c r="K37" s="7">
        <f>IF(I37="", 0, IF(OR(I37=0, AND(J37=2, I37&gt;6.6), AND(J37=3, I37&gt;8.6), AND(J37=5, I37&gt;14.1)), 1, 0))</f>
        <v>0</v>
      </c>
      <c r="L37" s="8">
        <v>27.3</v>
      </c>
      <c r="N37" s="7" t="s">
        <v>43</v>
      </c>
      <c r="O37" s="9" t="s">
        <v>46</v>
      </c>
    </row>
    <row r="38" spans="1:15">
      <c r="A38" s="5">
        <v>46057</v>
      </c>
      <c r="B38" s="6">
        <v>0.58333333333333337</v>
      </c>
      <c r="C38" s="6" t="s">
        <v>19</v>
      </c>
      <c r="D38" s="7" t="s">
        <v>25</v>
      </c>
      <c r="E38" s="7">
        <v>202511001</v>
      </c>
      <c r="F38" s="7">
        <v>77.400000000000006</v>
      </c>
      <c r="G38" s="7">
        <v>78.8</v>
      </c>
      <c r="H38" s="8">
        <v>28</v>
      </c>
      <c r="J38" s="7">
        <f>VLOOKUP(D38, [1]設備資料!$A:$E, 5, 0)</f>
        <v>5</v>
      </c>
      <c r="K38" s="7">
        <f>IF(I38="", 0, IF(OR(I38=0, AND(J38=2, I38&gt;6.6), AND(J38=3, I38&gt;8.6), AND(J38=5, I38&gt;14.1)), 1, 0))</f>
        <v>0</v>
      </c>
      <c r="L38" s="8">
        <v>27.3</v>
      </c>
      <c r="N38" s="7" t="s">
        <v>43</v>
      </c>
      <c r="O38" s="9" t="s">
        <v>46</v>
      </c>
    </row>
    <row r="39" spans="1:15">
      <c r="A39" s="5">
        <v>46057</v>
      </c>
      <c r="B39" s="6">
        <v>0.58333333333333337</v>
      </c>
      <c r="C39" s="6" t="s">
        <v>19</v>
      </c>
      <c r="D39" s="7" t="s">
        <v>26</v>
      </c>
      <c r="E39" s="7">
        <v>202511002</v>
      </c>
      <c r="F39" s="7">
        <v>77.5</v>
      </c>
      <c r="G39" s="7">
        <v>76.8</v>
      </c>
      <c r="H39" s="8">
        <v>28</v>
      </c>
      <c r="J39" s="7">
        <f>VLOOKUP(D39, [1]設備資料!$A:$E, 5, 0)</f>
        <v>5</v>
      </c>
      <c r="K39" s="7">
        <f>IF(I39="", 0, IF(OR(I39=0, AND(J39=2, I39&gt;6.6), AND(J39=3, I39&gt;8.6), AND(J39=5, I39&gt;14.1)), 1, 0))</f>
        <v>0</v>
      </c>
      <c r="L39" s="8">
        <v>27.3</v>
      </c>
      <c r="N39" s="7" t="s">
        <v>43</v>
      </c>
      <c r="O39" s="9" t="s">
        <v>46</v>
      </c>
    </row>
    <row r="40" spans="1:15">
      <c r="A40" s="5">
        <v>46057</v>
      </c>
      <c r="B40" s="6">
        <v>0.61111111111111116</v>
      </c>
      <c r="C40" s="6" t="s">
        <v>32</v>
      </c>
      <c r="D40" s="7" t="s">
        <v>31</v>
      </c>
      <c r="E40" s="7">
        <v>202510024</v>
      </c>
      <c r="F40" s="7">
        <v>56.2</v>
      </c>
      <c r="G40" s="7">
        <v>56.2</v>
      </c>
      <c r="H40" s="8">
        <v>28</v>
      </c>
      <c r="J40" s="7">
        <f>VLOOKUP(D40, [1]設備資料!$A:$E, 5, 0)</f>
        <v>2</v>
      </c>
      <c r="K40" s="7">
        <f>IF(I40="", 0, IF(OR(I40=0, AND(J40=2, I40&gt;6.6), AND(J40=3, I40&gt;8.6), AND(J40=5, I40&gt;14.1)), 1, 0))</f>
        <v>0</v>
      </c>
      <c r="M40" s="8">
        <v>26</v>
      </c>
      <c r="N40" s="7" t="s">
        <v>43</v>
      </c>
      <c r="O40" s="9" t="s">
        <v>47</v>
      </c>
    </row>
    <row r="41" spans="1:15">
      <c r="A41" s="5">
        <v>46057</v>
      </c>
      <c r="B41" s="6">
        <v>0.61111111111111116</v>
      </c>
      <c r="C41" s="6" t="s">
        <v>32</v>
      </c>
      <c r="D41" s="7" t="s">
        <v>33</v>
      </c>
      <c r="E41" s="7">
        <v>202510026</v>
      </c>
      <c r="F41" s="7">
        <v>60.4</v>
      </c>
      <c r="G41" s="10" t="s">
        <v>21</v>
      </c>
      <c r="H41" s="8">
        <v>28</v>
      </c>
      <c r="J41" s="7">
        <f>VLOOKUP(D41, [1]設備資料!$A:$E, 5, 0)</f>
        <v>2</v>
      </c>
      <c r="K41" s="7">
        <f>IF(I41="", 0, IF(OR(I41=0, AND(J41=2, I41&gt;6.6), AND(J41=3, I41&gt;8.6), AND(J41=5, I41&gt;14.1)), 1, 0))</f>
        <v>0</v>
      </c>
      <c r="M41" s="8">
        <v>26</v>
      </c>
      <c r="N41" s="7" t="s">
        <v>43</v>
      </c>
      <c r="O41" s="9" t="s">
        <v>47</v>
      </c>
    </row>
    <row r="42" spans="1:15">
      <c r="A42" s="5">
        <v>46057</v>
      </c>
      <c r="B42" s="6">
        <v>0.61111111111111116</v>
      </c>
      <c r="C42" s="6" t="s">
        <v>32</v>
      </c>
      <c r="D42" s="7" t="s">
        <v>34</v>
      </c>
      <c r="E42" s="7">
        <v>202511017</v>
      </c>
      <c r="F42" s="7">
        <v>62.5</v>
      </c>
      <c r="G42" s="7">
        <v>62.9</v>
      </c>
      <c r="H42" s="8">
        <v>28</v>
      </c>
      <c r="J42" s="7">
        <f>VLOOKUP(D42, [1]設備資料!$A:$E, 5, 0)</f>
        <v>3</v>
      </c>
      <c r="K42" s="7">
        <f>IF(I42="", 0, IF(OR(I42=0, AND(J42=2, I42&gt;6.6), AND(J42=3, I42&gt;8.6), AND(J42=5, I42&gt;14.1)), 1, 0))</f>
        <v>0</v>
      </c>
      <c r="M42" s="8">
        <v>26</v>
      </c>
      <c r="N42" s="7" t="s">
        <v>43</v>
      </c>
      <c r="O42" s="9" t="s">
        <v>47</v>
      </c>
    </row>
    <row r="43" spans="1:15">
      <c r="A43" s="5">
        <v>46057</v>
      </c>
      <c r="B43" s="6">
        <v>0.61111111111111116</v>
      </c>
      <c r="C43" s="6" t="s">
        <v>32</v>
      </c>
      <c r="D43" s="7" t="s">
        <v>35</v>
      </c>
      <c r="E43" s="7">
        <v>202511005</v>
      </c>
      <c r="F43" s="7">
        <v>77.7</v>
      </c>
      <c r="G43" s="7">
        <v>73.400000000000006</v>
      </c>
      <c r="H43" s="8">
        <v>28</v>
      </c>
      <c r="J43" s="7">
        <f>VLOOKUP(D43, [1]設備資料!$A:$E, 5, 0)</f>
        <v>5</v>
      </c>
      <c r="K43" s="7">
        <f>IF(I43="", 0, IF(OR(I43=0, AND(J43=2, I43&gt;6.6), AND(J43=3, I43&gt;8.6), AND(J43=5, I43&gt;14.1)), 1, 0))</f>
        <v>0</v>
      </c>
      <c r="M43" s="8">
        <v>26</v>
      </c>
      <c r="N43" s="7" t="s">
        <v>43</v>
      </c>
      <c r="O43" s="9" t="s">
        <v>47</v>
      </c>
    </row>
    <row r="44" spans="1:15">
      <c r="A44" s="5">
        <v>46057</v>
      </c>
      <c r="B44" s="6">
        <v>0.61111111111111116</v>
      </c>
      <c r="C44" s="6" t="s">
        <v>32</v>
      </c>
      <c r="D44" s="7" t="s">
        <v>36</v>
      </c>
      <c r="E44" s="7" t="s">
        <v>37</v>
      </c>
      <c r="F44" s="7">
        <v>79.3</v>
      </c>
      <c r="G44" s="7">
        <v>74.8</v>
      </c>
      <c r="H44" s="8">
        <v>28</v>
      </c>
      <c r="J44" s="7">
        <f>VLOOKUP(D44, [1]設備資料!$A:$E, 5, 0)</f>
        <v>5</v>
      </c>
      <c r="K44" s="7">
        <f>IF(I44="", 0, IF(OR(I44=0, AND(J44=2, I44&gt;6.6), AND(J44=3, I44&gt;8.6), AND(J44=5, I44&gt;14.1)), 1, 0))</f>
        <v>0</v>
      </c>
      <c r="M44" s="8">
        <v>26</v>
      </c>
      <c r="N44" s="7" t="s">
        <v>43</v>
      </c>
      <c r="O44" s="9" t="s">
        <v>47</v>
      </c>
    </row>
    <row r="45" spans="1:15">
      <c r="A45" s="5">
        <v>46057</v>
      </c>
      <c r="B45" s="6">
        <v>0.625</v>
      </c>
      <c r="C45" s="6" t="s">
        <v>19</v>
      </c>
      <c r="D45" s="7" t="s">
        <v>16</v>
      </c>
      <c r="E45" s="7">
        <v>202510001</v>
      </c>
      <c r="F45" s="7">
        <v>58.3</v>
      </c>
      <c r="G45" s="7">
        <v>58.3</v>
      </c>
      <c r="H45" s="8">
        <v>28</v>
      </c>
      <c r="J45" s="7">
        <f>VLOOKUP(D45, [1]設備資料!$A:$E, 5, 0)</f>
        <v>2</v>
      </c>
      <c r="K45" s="7">
        <f>IF(I45="", 0, IF(OR(I45=0, AND(J45=2, I45&gt;6.6), AND(J45=3, I45&gt;8.6), AND(J45=5, I45&gt;14.1)), 1, 0))</f>
        <v>0</v>
      </c>
      <c r="L45" s="8">
        <v>28.8</v>
      </c>
      <c r="N45" s="7" t="s">
        <v>43</v>
      </c>
      <c r="O45" s="9" t="s">
        <v>48</v>
      </c>
    </row>
    <row r="46" spans="1:15">
      <c r="A46" s="5">
        <v>46057</v>
      </c>
      <c r="B46" s="6">
        <v>0.625</v>
      </c>
      <c r="C46" s="6" t="s">
        <v>19</v>
      </c>
      <c r="D46" s="7" t="s">
        <v>20</v>
      </c>
      <c r="E46" s="7">
        <v>202510006</v>
      </c>
      <c r="F46" s="7">
        <v>54.4</v>
      </c>
      <c r="G46" s="10" t="s">
        <v>21</v>
      </c>
      <c r="H46" s="8">
        <v>28</v>
      </c>
      <c r="J46" s="7">
        <f>VLOOKUP(D46, [1]設備資料!$A:$E, 5, 0)</f>
        <v>2</v>
      </c>
      <c r="K46" s="7">
        <f>IF(I46="", 0, IF(OR(I46=0, AND(J46=2, I46&gt;6.6), AND(J46=3, I46&gt;8.6), AND(J46=5, I46&gt;14.1)), 1, 0))</f>
        <v>0</v>
      </c>
      <c r="L46" s="8">
        <v>28.8</v>
      </c>
      <c r="N46" s="7" t="s">
        <v>43</v>
      </c>
      <c r="O46" s="9" t="s">
        <v>48</v>
      </c>
    </row>
    <row r="47" spans="1:15">
      <c r="A47" s="5">
        <v>46057</v>
      </c>
      <c r="B47" s="6">
        <v>0.625</v>
      </c>
      <c r="C47" s="6" t="s">
        <v>19</v>
      </c>
      <c r="D47" s="7" t="s">
        <v>23</v>
      </c>
      <c r="E47" s="7">
        <v>202511011</v>
      </c>
      <c r="F47" s="7">
        <v>63.6</v>
      </c>
      <c r="G47" s="7">
        <v>64.599999999999994</v>
      </c>
      <c r="H47" s="8">
        <v>28</v>
      </c>
      <c r="J47" s="7">
        <f>VLOOKUP(D47, [1]設備資料!$A:$E, 5, 0)</f>
        <v>3</v>
      </c>
      <c r="K47" s="7">
        <f>IF(I47="", 0, IF(OR(I47=0, AND(J47=2, I47&gt;6.6), AND(J47=3, I47&gt;8.6), AND(J47=5, I47&gt;14.1)), 1, 0))</f>
        <v>0</v>
      </c>
      <c r="L47" s="8">
        <v>28.8</v>
      </c>
      <c r="N47" s="7" t="s">
        <v>43</v>
      </c>
      <c r="O47" s="9" t="s">
        <v>48</v>
      </c>
    </row>
    <row r="48" spans="1:15">
      <c r="A48" s="5">
        <v>46057</v>
      </c>
      <c r="B48" s="6">
        <v>0.625</v>
      </c>
      <c r="C48" s="6" t="s">
        <v>19</v>
      </c>
      <c r="D48" s="7" t="s">
        <v>24</v>
      </c>
      <c r="E48" s="7">
        <v>202511012</v>
      </c>
      <c r="F48" s="7">
        <v>64</v>
      </c>
      <c r="G48" s="10" t="s">
        <v>21</v>
      </c>
      <c r="H48" s="8">
        <v>28</v>
      </c>
      <c r="J48" s="7">
        <f>VLOOKUP(D48, [1]設備資料!$A:$E, 5, 0)</f>
        <v>3</v>
      </c>
      <c r="K48" s="7">
        <f>IF(I48="", 0, IF(OR(I48=0, AND(J48=2, I48&gt;6.6), AND(J48=3, I48&gt;8.6), AND(J48=5, I48&gt;14.1)), 1, 0))</f>
        <v>0</v>
      </c>
      <c r="L48" s="8">
        <v>28.8</v>
      </c>
      <c r="N48" s="7" t="s">
        <v>43</v>
      </c>
      <c r="O48" s="9" t="s">
        <v>48</v>
      </c>
    </row>
    <row r="49" spans="1:15">
      <c r="A49" s="5">
        <v>46057</v>
      </c>
      <c r="B49" s="6">
        <v>0.625</v>
      </c>
      <c r="C49" s="6" t="s">
        <v>19</v>
      </c>
      <c r="D49" s="7" t="s">
        <v>25</v>
      </c>
      <c r="E49" s="7">
        <v>202511001</v>
      </c>
      <c r="F49" s="7">
        <v>79.3</v>
      </c>
      <c r="G49" s="7">
        <v>80.599999999999994</v>
      </c>
      <c r="H49" s="8">
        <v>28</v>
      </c>
      <c r="J49" s="7">
        <f>VLOOKUP(D49, [1]設備資料!$A:$E, 5, 0)</f>
        <v>5</v>
      </c>
      <c r="K49" s="7">
        <f>IF(I49="", 0, IF(OR(I49=0, AND(J49=2, I49&gt;6.6), AND(J49=3, I49&gt;8.6), AND(J49=5, I49&gt;14.1)), 1, 0))</f>
        <v>0</v>
      </c>
      <c r="L49" s="8">
        <v>28.8</v>
      </c>
      <c r="N49" s="7" t="s">
        <v>43</v>
      </c>
      <c r="O49" s="9" t="s">
        <v>48</v>
      </c>
    </row>
    <row r="50" spans="1:15">
      <c r="A50" s="5">
        <v>46057</v>
      </c>
      <c r="B50" s="6">
        <v>0.625</v>
      </c>
      <c r="C50" s="6" t="s">
        <v>19</v>
      </c>
      <c r="D50" s="7" t="s">
        <v>26</v>
      </c>
      <c r="E50" s="7">
        <v>202511002</v>
      </c>
      <c r="F50" s="7">
        <v>79.099999999999994</v>
      </c>
      <c r="G50" s="7">
        <v>78.400000000000006</v>
      </c>
      <c r="H50" s="8">
        <v>28</v>
      </c>
      <c r="J50" s="7">
        <f>VLOOKUP(D50, [1]設備資料!$A:$E, 5, 0)</f>
        <v>5</v>
      </c>
      <c r="K50" s="7">
        <f>IF(I50="", 0, IF(OR(I50=0, AND(J50=2, I50&gt;6.6), AND(J50=3, I50&gt;8.6), AND(J50=5, I50&gt;14.1)), 1, 0))</f>
        <v>0</v>
      </c>
      <c r="L50" s="8">
        <v>28.8</v>
      </c>
      <c r="N50" s="7" t="s">
        <v>43</v>
      </c>
      <c r="O50" s="9" t="s">
        <v>48</v>
      </c>
    </row>
    <row r="51" spans="1:15">
      <c r="A51" s="5">
        <v>46057</v>
      </c>
      <c r="B51" s="6">
        <v>0.65277777777777779</v>
      </c>
      <c r="C51" s="6" t="s">
        <v>32</v>
      </c>
      <c r="D51" s="7" t="s">
        <v>31</v>
      </c>
      <c r="E51" s="7">
        <v>202510024</v>
      </c>
      <c r="F51" s="7">
        <v>56.2</v>
      </c>
      <c r="G51" s="7">
        <v>56.2</v>
      </c>
      <c r="H51" s="8">
        <v>28</v>
      </c>
      <c r="J51" s="7">
        <f>VLOOKUP(D51, [1]設備資料!$A:$E, 5, 0)</f>
        <v>2</v>
      </c>
      <c r="K51" s="7">
        <f>IF(I51="", 0, IF(OR(I51=0, AND(J51=2, I51&gt;6.6), AND(J51=3, I51&gt;8.6), AND(J51=5, I51&gt;14.1)), 1, 0))</f>
        <v>0</v>
      </c>
      <c r="M51" s="8">
        <v>27.3</v>
      </c>
      <c r="N51" s="7" t="s">
        <v>43</v>
      </c>
      <c r="O51" s="9" t="s">
        <v>46</v>
      </c>
    </row>
    <row r="52" spans="1:15">
      <c r="A52" s="5">
        <v>46057</v>
      </c>
      <c r="B52" s="6">
        <v>0.65277777777777779</v>
      </c>
      <c r="C52" s="6" t="s">
        <v>32</v>
      </c>
      <c r="D52" s="7" t="s">
        <v>33</v>
      </c>
      <c r="E52" s="7">
        <v>202510026</v>
      </c>
      <c r="F52" s="7">
        <v>60.4</v>
      </c>
      <c r="G52" s="10" t="s">
        <v>21</v>
      </c>
      <c r="H52" s="8">
        <v>28</v>
      </c>
      <c r="J52" s="7">
        <f>VLOOKUP(D52, [1]設備資料!$A:$E, 5, 0)</f>
        <v>2</v>
      </c>
      <c r="K52" s="7">
        <f>IF(I52="", 0, IF(OR(I52=0, AND(J52=2, I52&gt;6.6), AND(J52=3, I52&gt;8.6), AND(J52=5, I52&gt;14.1)), 1, 0))</f>
        <v>0</v>
      </c>
      <c r="M52" s="8">
        <v>27.3</v>
      </c>
      <c r="N52" s="7" t="s">
        <v>43</v>
      </c>
      <c r="O52" s="9" t="s">
        <v>46</v>
      </c>
    </row>
    <row r="53" spans="1:15">
      <c r="A53" s="5">
        <v>46057</v>
      </c>
      <c r="B53" s="6">
        <v>0.65277777777777779</v>
      </c>
      <c r="C53" s="6" t="s">
        <v>32</v>
      </c>
      <c r="D53" s="7" t="s">
        <v>34</v>
      </c>
      <c r="E53" s="7">
        <v>202511017</v>
      </c>
      <c r="F53" s="7">
        <v>62.5</v>
      </c>
      <c r="G53" s="7">
        <v>62.9</v>
      </c>
      <c r="H53" s="8">
        <v>28</v>
      </c>
      <c r="J53" s="7">
        <f>VLOOKUP(D53, [1]設備資料!$A:$E, 5, 0)</f>
        <v>3</v>
      </c>
      <c r="K53" s="7">
        <f>IF(I53="", 0, IF(OR(I53=0, AND(J53=2, I53&gt;6.6), AND(J53=3, I53&gt;8.6), AND(J53=5, I53&gt;14.1)), 1, 0))</f>
        <v>0</v>
      </c>
      <c r="M53" s="8">
        <v>27.3</v>
      </c>
      <c r="N53" s="7" t="s">
        <v>43</v>
      </c>
      <c r="O53" s="9" t="s">
        <v>46</v>
      </c>
    </row>
    <row r="54" spans="1:15">
      <c r="A54" s="5">
        <v>46057</v>
      </c>
      <c r="B54" s="6">
        <v>0.65277777777777779</v>
      </c>
      <c r="C54" s="6" t="s">
        <v>32</v>
      </c>
      <c r="D54" s="7" t="s">
        <v>35</v>
      </c>
      <c r="E54" s="7">
        <v>202511005</v>
      </c>
      <c r="F54" s="7">
        <v>77.7</v>
      </c>
      <c r="G54" s="7">
        <v>73.400000000000006</v>
      </c>
      <c r="H54" s="8">
        <v>28</v>
      </c>
      <c r="J54" s="7">
        <f>VLOOKUP(D54, [1]設備資料!$A:$E, 5, 0)</f>
        <v>5</v>
      </c>
      <c r="K54" s="7">
        <f>IF(I54="", 0, IF(OR(I54=0, AND(J54=2, I54&gt;6.6), AND(J54=3, I54&gt;8.6), AND(J54=5, I54&gt;14.1)), 1, 0))</f>
        <v>0</v>
      </c>
      <c r="M54" s="8">
        <v>27.3</v>
      </c>
      <c r="N54" s="7" t="s">
        <v>43</v>
      </c>
      <c r="O54" s="9" t="s">
        <v>46</v>
      </c>
    </row>
    <row r="55" spans="1:15">
      <c r="A55" s="5">
        <v>46057</v>
      </c>
      <c r="B55" s="6">
        <v>0.65277777777777779</v>
      </c>
      <c r="C55" s="6" t="s">
        <v>32</v>
      </c>
      <c r="D55" s="7" t="s">
        <v>36</v>
      </c>
      <c r="E55" s="7" t="s">
        <v>37</v>
      </c>
      <c r="F55" s="7">
        <v>79.3</v>
      </c>
      <c r="G55" s="7">
        <v>74.8</v>
      </c>
      <c r="H55" s="8">
        <v>28</v>
      </c>
      <c r="J55" s="7">
        <f>VLOOKUP(D55, [1]設備資料!$A:$E, 5, 0)</f>
        <v>5</v>
      </c>
      <c r="K55" s="7">
        <f>IF(I55="", 0, IF(OR(I55=0, AND(J55=2, I55&gt;6.6), AND(J55=3, I55&gt;8.6), AND(J55=5, I55&gt;14.1)), 1, 0))</f>
        <v>0</v>
      </c>
      <c r="M55" s="8">
        <v>27.3</v>
      </c>
      <c r="N55" s="7" t="s">
        <v>43</v>
      </c>
      <c r="O55" s="9" t="s">
        <v>46</v>
      </c>
    </row>
    <row r="56" spans="1:15">
      <c r="A56" s="5">
        <v>46057</v>
      </c>
      <c r="B56" s="6">
        <v>0.66666666666666663</v>
      </c>
      <c r="C56" s="6" t="s">
        <v>19</v>
      </c>
      <c r="D56" s="7" t="s">
        <v>16</v>
      </c>
      <c r="E56" s="7">
        <v>202510001</v>
      </c>
      <c r="F56" s="7">
        <v>58.5</v>
      </c>
      <c r="G56" s="7">
        <v>58.5</v>
      </c>
      <c r="H56" s="8">
        <v>28</v>
      </c>
      <c r="J56" s="7">
        <f>VLOOKUP(D56, [1]設備資料!$A:$E, 5, 0)</f>
        <v>2</v>
      </c>
      <c r="K56" s="7">
        <f>IF(I56="", 0, IF(OR(I56=0, AND(J56=2, I56&gt;6.6), AND(J56=3, I56&gt;8.6), AND(J56=5, I56&gt;14.1)), 1, 0))</f>
        <v>0</v>
      </c>
      <c r="L56" s="8">
        <v>29.2</v>
      </c>
      <c r="N56" s="7" t="s">
        <v>43</v>
      </c>
      <c r="O56" s="9" t="s">
        <v>49</v>
      </c>
    </row>
    <row r="57" spans="1:15">
      <c r="A57" s="5">
        <v>46057</v>
      </c>
      <c r="B57" s="6">
        <v>0.66666666666666663</v>
      </c>
      <c r="C57" s="6" t="s">
        <v>19</v>
      </c>
      <c r="D57" s="7" t="s">
        <v>20</v>
      </c>
      <c r="E57" s="7">
        <v>202510006</v>
      </c>
      <c r="F57" s="7">
        <v>54.6</v>
      </c>
      <c r="G57" s="10" t="s">
        <v>21</v>
      </c>
      <c r="H57" s="8">
        <v>28</v>
      </c>
      <c r="J57" s="7">
        <f>VLOOKUP(D57, [1]設備資料!$A:$E, 5, 0)</f>
        <v>2</v>
      </c>
      <c r="K57" s="7">
        <f>IF(I57="", 0, IF(OR(I57=0, AND(J57=2, I57&gt;6.6), AND(J57=3, I57&gt;8.6), AND(J57=5, I57&gt;14.1)), 1, 0))</f>
        <v>0</v>
      </c>
      <c r="L57" s="8">
        <v>29.2</v>
      </c>
      <c r="N57" s="7" t="s">
        <v>43</v>
      </c>
      <c r="O57" s="9" t="s">
        <v>49</v>
      </c>
    </row>
    <row r="58" spans="1:15">
      <c r="A58" s="5">
        <v>46057</v>
      </c>
      <c r="B58" s="6">
        <v>0.66666666666666663</v>
      </c>
      <c r="C58" s="6" t="s">
        <v>19</v>
      </c>
      <c r="D58" s="7" t="s">
        <v>23</v>
      </c>
      <c r="E58" s="7">
        <v>202511011</v>
      </c>
      <c r="F58" s="7">
        <v>63.7</v>
      </c>
      <c r="G58" s="7">
        <v>64.7</v>
      </c>
      <c r="H58" s="8">
        <v>28</v>
      </c>
      <c r="J58" s="7">
        <f>VLOOKUP(D58, [1]設備資料!$A:$E, 5, 0)</f>
        <v>3</v>
      </c>
      <c r="K58" s="7">
        <f>IF(I58="", 0, IF(OR(I58=0, AND(J58=2, I58&gt;6.6), AND(J58=3, I58&gt;8.6), AND(J58=5, I58&gt;14.1)), 1, 0))</f>
        <v>0</v>
      </c>
      <c r="L58" s="8">
        <v>29.2</v>
      </c>
      <c r="N58" s="7" t="s">
        <v>43</v>
      </c>
      <c r="O58" s="9" t="s">
        <v>49</v>
      </c>
    </row>
    <row r="59" spans="1:15">
      <c r="A59" s="5">
        <v>46057</v>
      </c>
      <c r="B59" s="6">
        <v>0.66666666666666663</v>
      </c>
      <c r="C59" s="6" t="s">
        <v>19</v>
      </c>
      <c r="D59" s="7" t="s">
        <v>24</v>
      </c>
      <c r="E59" s="7">
        <v>202511012</v>
      </c>
      <c r="F59" s="7">
        <v>64</v>
      </c>
      <c r="G59" s="10" t="s">
        <v>21</v>
      </c>
      <c r="H59" s="8">
        <v>28</v>
      </c>
      <c r="J59" s="7">
        <f>VLOOKUP(D59, [1]設備資料!$A:$E, 5, 0)</f>
        <v>3</v>
      </c>
      <c r="K59" s="7">
        <f>IF(I59="", 0, IF(OR(I59=0, AND(J59=2, I59&gt;6.6), AND(J59=3, I59&gt;8.6), AND(J59=5, I59&gt;14.1)), 1, 0))</f>
        <v>0</v>
      </c>
      <c r="L59" s="8">
        <v>29.2</v>
      </c>
      <c r="N59" s="7" t="s">
        <v>43</v>
      </c>
      <c r="O59" s="9" t="s">
        <v>49</v>
      </c>
    </row>
    <row r="60" spans="1:15">
      <c r="A60" s="5">
        <v>46057</v>
      </c>
      <c r="B60" s="6">
        <v>0.66666666666666663</v>
      </c>
      <c r="C60" s="6" t="s">
        <v>19</v>
      </c>
      <c r="D60" s="7" t="s">
        <v>25</v>
      </c>
      <c r="E60" s="7">
        <v>202511001</v>
      </c>
      <c r="F60" s="7">
        <v>79.5</v>
      </c>
      <c r="G60" s="7">
        <v>80.900000000000006</v>
      </c>
      <c r="H60" s="8">
        <v>28</v>
      </c>
      <c r="J60" s="7">
        <f>VLOOKUP(D60, [1]設備資料!$A:$E, 5, 0)</f>
        <v>5</v>
      </c>
      <c r="K60" s="7">
        <f>IF(I60="", 0, IF(OR(I60=0, AND(J60=2, I60&gt;6.6), AND(J60=3, I60&gt;8.6), AND(J60=5, I60&gt;14.1)), 1, 0))</f>
        <v>0</v>
      </c>
      <c r="L60" s="8">
        <v>29.2</v>
      </c>
      <c r="N60" s="7" t="s">
        <v>43</v>
      </c>
      <c r="O60" s="9" t="s">
        <v>49</v>
      </c>
    </row>
    <row r="61" spans="1:15">
      <c r="A61" s="5">
        <v>46057</v>
      </c>
      <c r="B61" s="6">
        <v>0.66666666666666663</v>
      </c>
      <c r="C61" s="6" t="s">
        <v>19</v>
      </c>
      <c r="D61" s="7" t="s">
        <v>26</v>
      </c>
      <c r="E61" s="7">
        <v>202511002</v>
      </c>
      <c r="F61" s="7">
        <v>79.3</v>
      </c>
      <c r="G61" s="7">
        <v>78.599999999999994</v>
      </c>
      <c r="H61" s="8">
        <v>28</v>
      </c>
      <c r="J61" s="7">
        <f>VLOOKUP(D61, [1]設備資料!$A:$E, 5, 0)</f>
        <v>5</v>
      </c>
      <c r="K61" s="7">
        <f>IF(I61="", 0, IF(OR(I61=0, AND(J61=2, I61&gt;6.6), AND(J61=3, I61&gt;8.6), AND(J61=5, I61&gt;14.1)), 1, 0))</f>
        <v>0</v>
      </c>
      <c r="L61" s="8">
        <v>29.2</v>
      </c>
      <c r="N61" s="7" t="s">
        <v>43</v>
      </c>
      <c r="O61" s="9" t="s">
        <v>49</v>
      </c>
    </row>
    <row r="62" spans="1:15">
      <c r="A62" s="5">
        <v>46057</v>
      </c>
      <c r="B62" s="6">
        <v>0.69444444444444442</v>
      </c>
      <c r="C62" s="6" t="s">
        <v>32</v>
      </c>
      <c r="D62" s="7" t="s">
        <v>31</v>
      </c>
      <c r="E62" s="7">
        <v>202510024</v>
      </c>
      <c r="F62" s="7">
        <v>60</v>
      </c>
      <c r="G62" s="7">
        <v>59.9</v>
      </c>
      <c r="H62" s="8">
        <v>28</v>
      </c>
      <c r="I62" s="10">
        <v>6.08</v>
      </c>
      <c r="J62" s="7">
        <f>VLOOKUP(D62, [1]設備資料!$A:$E, 5, 0)</f>
        <v>2</v>
      </c>
      <c r="K62" s="7">
        <f>IF(I62="", 0, IF(OR(I62=0, AND(J62=2, I62&gt;6.6), AND(J62=3, I62&gt;8.6), AND(J62=5, I62&gt;14.1)), 1, 0))</f>
        <v>0</v>
      </c>
      <c r="M62" s="8">
        <v>29.8</v>
      </c>
      <c r="N62" s="7" t="s">
        <v>43</v>
      </c>
      <c r="O62" s="9" t="s">
        <v>48</v>
      </c>
    </row>
    <row r="63" spans="1:15">
      <c r="A63" s="5">
        <v>46057</v>
      </c>
      <c r="B63" s="6">
        <v>0.69444444444444442</v>
      </c>
      <c r="C63" s="6" t="s">
        <v>32</v>
      </c>
      <c r="D63" s="7" t="s">
        <v>33</v>
      </c>
      <c r="E63" s="7">
        <v>202510026</v>
      </c>
      <c r="F63" s="7">
        <v>63.7</v>
      </c>
      <c r="G63" s="10" t="s">
        <v>21</v>
      </c>
      <c r="H63" s="8">
        <v>28</v>
      </c>
      <c r="I63" s="10">
        <v>6.11</v>
      </c>
      <c r="J63" s="7">
        <f>VLOOKUP(D63, [1]設備資料!$A:$E, 5, 0)</f>
        <v>2</v>
      </c>
      <c r="K63" s="7">
        <f>IF(I63="", 0, IF(OR(I63=0, AND(J63=2, I63&gt;6.6), AND(J63=3, I63&gt;8.6), AND(J63=5, I63&gt;14.1)), 1, 0))</f>
        <v>0</v>
      </c>
      <c r="M63" s="8">
        <v>29.8</v>
      </c>
      <c r="N63" s="7" t="s">
        <v>43</v>
      </c>
      <c r="O63" s="9" t="s">
        <v>48</v>
      </c>
    </row>
    <row r="64" spans="1:15">
      <c r="A64" s="5">
        <v>46057</v>
      </c>
      <c r="B64" s="6">
        <v>0.69444444444444442</v>
      </c>
      <c r="C64" s="6" t="s">
        <v>32</v>
      </c>
      <c r="D64" s="7" t="s">
        <v>34</v>
      </c>
      <c r="E64" s="7">
        <v>202511017</v>
      </c>
      <c r="F64" s="7">
        <v>66.099999999999994</v>
      </c>
      <c r="G64" s="7">
        <v>66.400000000000006</v>
      </c>
      <c r="H64" s="8">
        <v>28</v>
      </c>
      <c r="I64" s="10">
        <v>7.97</v>
      </c>
      <c r="J64" s="7">
        <f>VLOOKUP(D64, [1]設備資料!$A:$E, 5, 0)</f>
        <v>3</v>
      </c>
      <c r="K64" s="7">
        <f>IF(I64="", 0, IF(OR(I64=0, AND(J64=2, I64&gt;6.6), AND(J64=3, I64&gt;8.6), AND(J64=5, I64&gt;14.1)), 1, 0))</f>
        <v>0</v>
      </c>
      <c r="M64" s="8">
        <v>29.8</v>
      </c>
      <c r="N64" s="7" t="s">
        <v>43</v>
      </c>
      <c r="O64" s="9" t="s">
        <v>48</v>
      </c>
    </row>
    <row r="65" spans="1:15">
      <c r="A65" s="5">
        <v>46057</v>
      </c>
      <c r="B65" s="6">
        <v>0.69444444444444442</v>
      </c>
      <c r="C65" s="6" t="s">
        <v>32</v>
      </c>
      <c r="D65" s="7" t="s">
        <v>35</v>
      </c>
      <c r="E65" s="7">
        <v>202511005</v>
      </c>
      <c r="F65" s="7">
        <v>81.400000000000006</v>
      </c>
      <c r="G65" s="7">
        <v>77.3</v>
      </c>
      <c r="H65" s="8">
        <v>28</v>
      </c>
      <c r="I65" s="10">
        <v>13.11</v>
      </c>
      <c r="J65" s="7">
        <f>VLOOKUP(D65, [1]設備資料!$A:$E, 5, 0)</f>
        <v>5</v>
      </c>
      <c r="K65" s="7">
        <f>IF(I65="", 0, IF(OR(I65=0, AND(J65=2, I65&gt;6.6), AND(J65=3, I65&gt;8.6), AND(J65=5, I65&gt;14.1)), 1, 0))</f>
        <v>0</v>
      </c>
      <c r="M65" s="8">
        <v>29.8</v>
      </c>
      <c r="N65" s="7" t="s">
        <v>43</v>
      </c>
      <c r="O65" s="9" t="s">
        <v>48</v>
      </c>
    </row>
    <row r="66" spans="1:15">
      <c r="A66" s="5">
        <v>46057</v>
      </c>
      <c r="B66" s="6">
        <v>0.69444444444444442</v>
      </c>
      <c r="C66" s="6" t="s">
        <v>32</v>
      </c>
      <c r="D66" s="7" t="s">
        <v>36</v>
      </c>
      <c r="E66" s="7" t="s">
        <v>37</v>
      </c>
      <c r="F66" s="7">
        <v>82.7</v>
      </c>
      <c r="G66" s="7">
        <v>78.2</v>
      </c>
      <c r="H66" s="8">
        <v>28</v>
      </c>
      <c r="I66" s="10">
        <v>13.06</v>
      </c>
      <c r="J66" s="7">
        <f>VLOOKUP(D66, [1]設備資料!$A:$E, 5, 0)</f>
        <v>5</v>
      </c>
      <c r="K66" s="7">
        <f>IF(I66="", 0, IF(OR(I66=0, AND(J66=2, I66&gt;6.6), AND(J66=3, I66&gt;8.6), AND(J66=5, I66&gt;14.1)), 1, 0))</f>
        <v>0</v>
      </c>
      <c r="M66" s="8">
        <v>29.8</v>
      </c>
      <c r="N66" s="7" t="s">
        <v>43</v>
      </c>
      <c r="O66" s="9" t="s">
        <v>48</v>
      </c>
    </row>
    <row r="67" spans="1:15">
      <c r="A67" s="5">
        <v>46057</v>
      </c>
      <c r="B67" s="6">
        <v>0.70833333333333337</v>
      </c>
      <c r="C67" s="6" t="s">
        <v>15</v>
      </c>
      <c r="D67" s="7" t="s">
        <v>16</v>
      </c>
      <c r="E67" s="7">
        <v>202510001</v>
      </c>
      <c r="F67" s="7">
        <v>59.8</v>
      </c>
      <c r="G67" s="7">
        <v>59.9</v>
      </c>
      <c r="H67" s="8">
        <v>28</v>
      </c>
      <c r="I67" s="10">
        <v>6.31</v>
      </c>
      <c r="J67" s="7">
        <f>VLOOKUP(D67, [1]設備資料!$A:$E, 5, 0)</f>
        <v>2</v>
      </c>
      <c r="K67" s="7">
        <f>IF(I67="", 0, IF(OR(I67=0, AND(J67=2, I67&gt;6.6), AND(J67=3, I67&gt;8.6), AND(J67=5, I67&gt;14.1)), 1, 0))</f>
        <v>0</v>
      </c>
      <c r="L67" s="8">
        <v>30.6</v>
      </c>
      <c r="N67" s="7" t="s">
        <v>43</v>
      </c>
      <c r="O67" s="9" t="s">
        <v>50</v>
      </c>
    </row>
    <row r="68" spans="1:15">
      <c r="A68" s="5">
        <v>46057</v>
      </c>
      <c r="B68" s="6">
        <v>0.70833333333333337</v>
      </c>
      <c r="C68" s="6" t="s">
        <v>19</v>
      </c>
      <c r="D68" s="7" t="s">
        <v>20</v>
      </c>
      <c r="E68" s="7">
        <v>202510006</v>
      </c>
      <c r="F68" s="7">
        <v>56</v>
      </c>
      <c r="G68" s="10" t="s">
        <v>21</v>
      </c>
      <c r="H68" s="8">
        <v>24</v>
      </c>
      <c r="I68" s="10">
        <v>6.19</v>
      </c>
      <c r="J68" s="7">
        <f>VLOOKUP(D68, [1]設備資料!$A:$E, 5, 0)</f>
        <v>2</v>
      </c>
      <c r="K68" s="7">
        <f>IF(I68="", 0, IF(OR(I68=0, AND(J68=2, I68&gt;6.6), AND(J68=3, I68&gt;8.6), AND(J68=5, I68&gt;14.1)), 1, 0))</f>
        <v>0</v>
      </c>
      <c r="L68" s="8">
        <v>30.6</v>
      </c>
      <c r="N68" s="7" t="s">
        <v>43</v>
      </c>
      <c r="O68" s="9" t="s">
        <v>50</v>
      </c>
    </row>
    <row r="69" spans="1:15">
      <c r="A69" s="5">
        <v>46057</v>
      </c>
      <c r="B69" s="6">
        <v>0.70833333333333337</v>
      </c>
      <c r="C69" s="6" t="s">
        <v>19</v>
      </c>
      <c r="D69" s="7" t="s">
        <v>23</v>
      </c>
      <c r="E69" s="7">
        <v>202511011</v>
      </c>
      <c r="F69" s="7">
        <v>65.400000000000006</v>
      </c>
      <c r="G69" s="7">
        <v>66.5</v>
      </c>
      <c r="H69" s="8">
        <v>24</v>
      </c>
      <c r="I69" s="10">
        <v>7.72</v>
      </c>
      <c r="J69" s="7">
        <f>VLOOKUP(D69, [1]設備資料!$A:$E, 5, 0)</f>
        <v>3</v>
      </c>
      <c r="K69" s="7">
        <f>IF(I69="", 0, IF(OR(I69=0, AND(J69=2, I69&gt;6.6), AND(J69=3, I69&gt;8.6), AND(J69=5, I69&gt;14.1)), 1, 0))</f>
        <v>0</v>
      </c>
      <c r="L69" s="8">
        <v>30.6</v>
      </c>
      <c r="N69" s="7" t="s">
        <v>43</v>
      </c>
      <c r="O69" s="9" t="s">
        <v>50</v>
      </c>
    </row>
    <row r="70" spans="1:15">
      <c r="A70" s="5">
        <v>46057</v>
      </c>
      <c r="B70" s="6">
        <v>0.70833333333333337</v>
      </c>
      <c r="C70" s="6" t="s">
        <v>19</v>
      </c>
      <c r="D70" s="7" t="s">
        <v>24</v>
      </c>
      <c r="E70" s="7">
        <v>202511012</v>
      </c>
      <c r="F70" s="7">
        <v>65.7</v>
      </c>
      <c r="G70" s="10" t="s">
        <v>21</v>
      </c>
      <c r="H70" s="8">
        <v>24</v>
      </c>
      <c r="I70" s="10">
        <v>7.77</v>
      </c>
      <c r="J70" s="7">
        <f>VLOOKUP(D70, [1]設備資料!$A:$E, 5, 0)</f>
        <v>3</v>
      </c>
      <c r="K70" s="7">
        <f>IF(I70="", 0, IF(OR(I70=0, AND(J70=2, I70&gt;6.6), AND(J70=3, I70&gt;8.6), AND(J70=5, I70&gt;14.1)), 1, 0))</f>
        <v>0</v>
      </c>
      <c r="L70" s="8">
        <v>30.6</v>
      </c>
      <c r="N70" s="7" t="s">
        <v>43</v>
      </c>
      <c r="O70" s="9" t="s">
        <v>50</v>
      </c>
    </row>
    <row r="71" spans="1:15">
      <c r="A71" s="5">
        <v>46057</v>
      </c>
      <c r="B71" s="6">
        <v>0.70833333333333337</v>
      </c>
      <c r="C71" s="6" t="s">
        <v>19</v>
      </c>
      <c r="D71" s="7" t="s">
        <v>25</v>
      </c>
      <c r="E71" s="7">
        <v>202511001</v>
      </c>
      <c r="F71" s="7">
        <v>81</v>
      </c>
      <c r="G71" s="7">
        <v>82.5</v>
      </c>
      <c r="H71" s="8">
        <v>24</v>
      </c>
      <c r="I71" s="10">
        <v>13.32</v>
      </c>
      <c r="J71" s="7">
        <f>VLOOKUP(D71, [1]設備資料!$A:$E, 5, 0)</f>
        <v>5</v>
      </c>
      <c r="K71" s="7">
        <f>IF(I71="", 0, IF(OR(I71=0, AND(J71=2, I71&gt;6.6), AND(J71=3, I71&gt;8.6), AND(J71=5, I71&gt;14.1)), 1, 0))</f>
        <v>0</v>
      </c>
      <c r="L71" s="8">
        <v>30.6</v>
      </c>
      <c r="N71" s="7" t="s">
        <v>43</v>
      </c>
      <c r="O71" s="9" t="s">
        <v>50</v>
      </c>
    </row>
    <row r="72" spans="1:15">
      <c r="A72" s="5">
        <v>46057</v>
      </c>
      <c r="B72" s="6">
        <v>0.70833333333333337</v>
      </c>
      <c r="C72" s="6" t="s">
        <v>19</v>
      </c>
      <c r="D72" s="7" t="s">
        <v>26</v>
      </c>
      <c r="E72" s="7">
        <v>202511002</v>
      </c>
      <c r="F72" s="7">
        <v>80.8</v>
      </c>
      <c r="G72" s="7">
        <v>80.2</v>
      </c>
      <c r="H72" s="8">
        <v>24</v>
      </c>
      <c r="I72" s="10">
        <v>13.27</v>
      </c>
      <c r="J72" s="7">
        <f>VLOOKUP(D72, [1]設備資料!$A:$E, 5, 0)</f>
        <v>5</v>
      </c>
      <c r="K72" s="7">
        <f>IF(I72="", 0, IF(OR(I72=0, AND(J72=2, I72&gt;6.6), AND(J72=3, I72&gt;8.6), AND(J72=5, I72&gt;14.1)), 1, 0))</f>
        <v>0</v>
      </c>
      <c r="L72" s="8">
        <v>30.6</v>
      </c>
      <c r="N72" s="7" t="s">
        <v>43</v>
      </c>
      <c r="O72" s="9" t="s">
        <v>50</v>
      </c>
    </row>
    <row r="73" spans="1:15">
      <c r="A73" s="5">
        <v>46058</v>
      </c>
      <c r="B73" s="6">
        <v>0.33333333333333331</v>
      </c>
      <c r="C73" s="6" t="s">
        <v>19</v>
      </c>
      <c r="D73" s="7" t="s">
        <v>16</v>
      </c>
      <c r="E73" s="7">
        <v>202510001</v>
      </c>
      <c r="F73" s="7">
        <v>72</v>
      </c>
      <c r="G73" s="7">
        <v>71.8</v>
      </c>
      <c r="H73" s="8">
        <v>18</v>
      </c>
      <c r="I73" s="7">
        <v>6.18</v>
      </c>
      <c r="J73" s="7">
        <f>VLOOKUP(D73, [1]設備資料!$A:$E, 5, 0)</f>
        <v>2</v>
      </c>
      <c r="K73" s="7">
        <f>IF(I73="", 0, IF(OR(I73=0, AND(J73=2, I73&gt;6.6), AND(J73=3, I73&gt;8.6), AND(J73=5, I73&gt;14.1)), 1, 0))</f>
        <v>0</v>
      </c>
      <c r="L73" s="8">
        <v>41.9</v>
      </c>
      <c r="N73" s="7"/>
      <c r="O73" s="9"/>
    </row>
    <row r="74" spans="1:15">
      <c r="A74" s="5">
        <v>46058</v>
      </c>
      <c r="B74" s="6">
        <v>0.33333333333333331</v>
      </c>
      <c r="C74" s="6" t="s">
        <v>19</v>
      </c>
      <c r="D74" s="7" t="s">
        <v>20</v>
      </c>
      <c r="E74" s="7">
        <v>202510006</v>
      </c>
      <c r="F74" s="7">
        <v>67.2</v>
      </c>
      <c r="H74" s="8">
        <v>18</v>
      </c>
      <c r="I74" s="7">
        <v>6.33</v>
      </c>
      <c r="J74" s="7">
        <f>VLOOKUP(D74, [1]設備資料!$A:$E, 5, 0)</f>
        <v>2</v>
      </c>
      <c r="K74" s="7">
        <f>IF(I74="", 0, IF(OR(I74=0, AND(J74=2, I74&gt;6.6), AND(J74=3, I74&gt;8.6), AND(J74=5, I74&gt;14.1)), 1, 0))</f>
        <v>0</v>
      </c>
      <c r="L74" s="8">
        <v>41.9</v>
      </c>
      <c r="N74" s="7"/>
      <c r="O74" s="9"/>
    </row>
    <row r="75" spans="1:15">
      <c r="A75" s="5">
        <v>46058</v>
      </c>
      <c r="B75" s="6">
        <v>0.33333333333333331</v>
      </c>
      <c r="C75" s="6" t="s">
        <v>19</v>
      </c>
      <c r="D75" s="7" t="s">
        <v>23</v>
      </c>
      <c r="E75" s="7">
        <v>202511011</v>
      </c>
      <c r="F75" s="7">
        <v>78.2</v>
      </c>
      <c r="G75" s="7">
        <v>79.400000000000006</v>
      </c>
      <c r="H75" s="8">
        <v>18</v>
      </c>
      <c r="I75" s="7">
        <v>7.82</v>
      </c>
      <c r="J75" s="7">
        <f>VLOOKUP(D75, [1]設備資料!$A:$E, 5, 0)</f>
        <v>3</v>
      </c>
      <c r="K75" s="7">
        <f>IF(I75="", 0, IF(OR(I75=0, AND(J75=2, I75&gt;6.6), AND(J75=3, I75&gt;8.6), AND(J75=5, I75&gt;14.1)), 1, 0))</f>
        <v>0</v>
      </c>
      <c r="L75" s="8">
        <v>41.9</v>
      </c>
      <c r="N75" s="7"/>
      <c r="O75" s="9"/>
    </row>
    <row r="76" spans="1:15">
      <c r="A76" s="5">
        <v>46058</v>
      </c>
      <c r="B76" s="6">
        <v>0.33333333333333331</v>
      </c>
      <c r="C76" s="6" t="s">
        <v>19</v>
      </c>
      <c r="D76" s="7" t="s">
        <v>24</v>
      </c>
      <c r="E76" s="7">
        <v>202511012</v>
      </c>
      <c r="F76" s="7">
        <v>78.099999999999994</v>
      </c>
      <c r="H76" s="8">
        <v>18</v>
      </c>
      <c r="I76" s="7">
        <v>8.11</v>
      </c>
      <c r="J76" s="7">
        <f>VLOOKUP(D76, [1]設備資料!$A:$E, 5, 0)</f>
        <v>3</v>
      </c>
      <c r="K76" s="7">
        <f>IF(I76="", 0, IF(OR(I76=0, AND(J76=2, I76&gt;6.6), AND(J76=3, I76&gt;8.6), AND(J76=5, I76&gt;14.1)), 1, 0))</f>
        <v>0</v>
      </c>
      <c r="L76" s="8">
        <v>41.9</v>
      </c>
      <c r="N76" s="7"/>
      <c r="O76" s="9"/>
    </row>
    <row r="77" spans="1:15">
      <c r="A77" s="5">
        <v>46058</v>
      </c>
      <c r="B77" s="6">
        <v>0.33333333333333331</v>
      </c>
      <c r="C77" s="6" t="s">
        <v>19</v>
      </c>
      <c r="D77" s="7" t="s">
        <v>25</v>
      </c>
      <c r="E77" s="7">
        <v>202511001</v>
      </c>
      <c r="F77" s="7">
        <v>94.4</v>
      </c>
      <c r="G77" s="7">
        <v>96.1</v>
      </c>
      <c r="H77" s="8">
        <v>18</v>
      </c>
      <c r="I77" s="7">
        <v>13.29</v>
      </c>
      <c r="J77" s="7">
        <f>VLOOKUP(D77, [1]設備資料!$A:$E, 5, 0)</f>
        <v>5</v>
      </c>
      <c r="K77" s="7">
        <f>IF(I77="", 0, IF(OR(I77=0, AND(J77=2, I77&gt;6.6), AND(J77=3, I77&gt;8.6), AND(J77=5, I77&gt;14.1)), 1, 0))</f>
        <v>0</v>
      </c>
      <c r="L77" s="8">
        <v>41.9</v>
      </c>
      <c r="N77" s="7"/>
      <c r="O77" s="9"/>
    </row>
    <row r="78" spans="1:15">
      <c r="A78" s="5">
        <v>46058</v>
      </c>
      <c r="B78" s="6">
        <v>0.33333333333333331</v>
      </c>
      <c r="C78" s="6" t="s">
        <v>19</v>
      </c>
      <c r="D78" s="7" t="s">
        <v>26</v>
      </c>
      <c r="E78" s="7">
        <v>202511002</v>
      </c>
      <c r="F78" s="7">
        <v>94.3</v>
      </c>
      <c r="G78" s="7">
        <v>93.8</v>
      </c>
      <c r="H78" s="8">
        <v>18</v>
      </c>
      <c r="I78" s="7">
        <v>13.94</v>
      </c>
      <c r="J78" s="7">
        <f>VLOOKUP(D78, [1]設備資料!$A:$E, 5, 0)</f>
        <v>5</v>
      </c>
      <c r="K78" s="7">
        <f>IF(I78="", 0, IF(OR(I78=0, AND(J78=2, I78&gt;6.6), AND(J78=3, I78&gt;8.6), AND(J78=5, I78&gt;14.1)), 1, 0))</f>
        <v>0</v>
      </c>
      <c r="L78" s="8">
        <v>41.9</v>
      </c>
      <c r="N78" s="7"/>
      <c r="O78" s="9"/>
    </row>
    <row r="79" spans="1:15">
      <c r="A79" s="5">
        <v>46058</v>
      </c>
      <c r="B79" s="6">
        <v>0.3611111111111111</v>
      </c>
      <c r="C79" s="6" t="s">
        <v>32</v>
      </c>
      <c r="D79" s="7" t="s">
        <v>31</v>
      </c>
      <c r="E79" s="7">
        <v>202510024</v>
      </c>
      <c r="F79" s="7">
        <v>71.7</v>
      </c>
      <c r="G79" s="7">
        <v>71.7</v>
      </c>
      <c r="H79" s="8">
        <v>18</v>
      </c>
      <c r="I79" s="7">
        <v>6.22</v>
      </c>
      <c r="J79" s="7">
        <f>VLOOKUP(D79, [1]設備資料!$A:$E, 5, 0)</f>
        <v>2</v>
      </c>
      <c r="K79" s="7">
        <f>IF(I79="", 0, IF(OR(I79=0, AND(J79=2, I79&gt;6.6), AND(J79=3, I79&gt;8.6), AND(J79=5, I79&gt;14.1)), 1, 0))</f>
        <v>0</v>
      </c>
      <c r="M79" s="8">
        <v>41.1</v>
      </c>
      <c r="N79" s="7"/>
      <c r="O79" s="9"/>
    </row>
    <row r="80" spans="1:15">
      <c r="A80" s="5">
        <v>46058</v>
      </c>
      <c r="B80" s="6">
        <v>0.3611111111111111</v>
      </c>
      <c r="C80" s="6" t="s">
        <v>32</v>
      </c>
      <c r="D80" s="7" t="s">
        <v>33</v>
      </c>
      <c r="E80" s="7">
        <v>202510026</v>
      </c>
      <c r="F80" s="7">
        <v>75.2</v>
      </c>
      <c r="H80" s="8">
        <v>18</v>
      </c>
      <c r="I80" s="7">
        <v>6.15</v>
      </c>
      <c r="J80" s="7">
        <f>VLOOKUP(D80, [1]設備資料!$A:$E, 5, 0)</f>
        <v>2</v>
      </c>
      <c r="K80" s="7">
        <f>IF(I80="", 0, IF(OR(I80=0, AND(J80=2, I80&gt;6.6), AND(J80=3, I80&gt;8.6), AND(J80=5, I80&gt;14.1)), 1, 0))</f>
        <v>0</v>
      </c>
      <c r="M80" s="8">
        <v>41.1</v>
      </c>
      <c r="N80" s="7"/>
      <c r="O80" s="9"/>
    </row>
    <row r="81" spans="1:15">
      <c r="A81" s="5">
        <v>46058</v>
      </c>
      <c r="B81" s="6">
        <v>0.3611111111111111</v>
      </c>
      <c r="C81" s="6" t="s">
        <v>32</v>
      </c>
      <c r="D81" s="7" t="s">
        <v>34</v>
      </c>
      <c r="E81" s="7">
        <v>202511017</v>
      </c>
      <c r="F81" s="7">
        <v>78.3</v>
      </c>
      <c r="G81" s="7">
        <v>78.900000000000006</v>
      </c>
      <c r="H81" s="8">
        <v>18</v>
      </c>
      <c r="I81" s="7">
        <v>7.69</v>
      </c>
      <c r="J81" s="7">
        <f>VLOOKUP(D81, [1]設備資料!$A:$E, 5, 0)</f>
        <v>3</v>
      </c>
      <c r="K81" s="7">
        <f>IF(I81="", 0, IF(OR(I81=0, AND(J81=2, I81&gt;6.6), AND(J81=3, I81&gt;8.6), AND(J81=5, I81&gt;14.1)), 1, 0))</f>
        <v>0</v>
      </c>
      <c r="M81" s="8">
        <v>41.1</v>
      </c>
      <c r="N81" s="7"/>
      <c r="O81" s="9"/>
    </row>
    <row r="82" spans="1:15">
      <c r="A82" s="5">
        <v>46058</v>
      </c>
      <c r="B82" s="6">
        <v>0.3611111111111111</v>
      </c>
      <c r="C82" s="6" t="s">
        <v>32</v>
      </c>
      <c r="D82" s="7" t="s">
        <v>35</v>
      </c>
      <c r="E82" s="7">
        <v>202511005</v>
      </c>
      <c r="F82" s="7">
        <v>94.4</v>
      </c>
      <c r="G82" s="7">
        <v>89.8</v>
      </c>
      <c r="H82" s="8">
        <v>18</v>
      </c>
      <c r="I82" s="7">
        <v>13.3</v>
      </c>
      <c r="J82" s="7">
        <f>VLOOKUP(D82, [1]設備資料!$A:$E, 5, 0)</f>
        <v>5</v>
      </c>
      <c r="K82" s="7">
        <f>IF(I82="", 0, IF(OR(I82=0, AND(J82=2, I82&gt;6.6), AND(J82=3, I82&gt;8.6), AND(J82=5, I82&gt;14.1)), 1, 0))</f>
        <v>0</v>
      </c>
      <c r="M82" s="8">
        <v>41.1</v>
      </c>
      <c r="N82" s="7"/>
      <c r="O82" s="9"/>
    </row>
    <row r="83" spans="1:15">
      <c r="A83" s="5">
        <v>46058</v>
      </c>
      <c r="B83" s="6">
        <v>0.3611111111111111</v>
      </c>
      <c r="C83" s="6" t="s">
        <v>32</v>
      </c>
      <c r="D83" s="7" t="s">
        <v>36</v>
      </c>
      <c r="E83" s="7" t="s">
        <v>37</v>
      </c>
      <c r="F83" s="7">
        <v>95.2</v>
      </c>
      <c r="G83" s="7">
        <v>90.8</v>
      </c>
      <c r="H83" s="8">
        <v>18</v>
      </c>
      <c r="I83" s="7">
        <v>13.45</v>
      </c>
      <c r="J83" s="7">
        <f>VLOOKUP(D83, [1]設備資料!$A:$E, 5, 0)</f>
        <v>5</v>
      </c>
      <c r="K83" s="7">
        <f>IF(I83="", 0, IF(OR(I83=0, AND(J83=2, I83&gt;6.6), AND(J83=3, I83&gt;8.6), AND(J83=5, I83&gt;14.1)), 1, 0))</f>
        <v>0</v>
      </c>
      <c r="M83" s="8">
        <v>41.1</v>
      </c>
      <c r="N83" s="7"/>
      <c r="O83" s="9"/>
    </row>
    <row r="84" spans="1:15">
      <c r="A84" s="5">
        <v>46058</v>
      </c>
      <c r="B84" s="6">
        <v>0.54166666666666663</v>
      </c>
      <c r="C84" s="6" t="s">
        <v>19</v>
      </c>
      <c r="D84" s="7" t="s">
        <v>16</v>
      </c>
      <c r="E84" s="7">
        <v>202510001</v>
      </c>
      <c r="F84" s="7">
        <v>73.599999999999994</v>
      </c>
      <c r="G84" s="7">
        <v>73.400000000000006</v>
      </c>
      <c r="H84" s="8">
        <v>28</v>
      </c>
      <c r="J84" s="7">
        <f>VLOOKUP(D84, [1]設備資料!$A:$E, 5, 0)</f>
        <v>2</v>
      </c>
      <c r="K84" s="7">
        <f>IF(I84="", 0, IF(OR(I84=0, AND(J84=2, I84&gt;6.6), AND(J84=3, I84&gt;8.6), AND(J84=5, I84&gt;14.1)), 1, 0))</f>
        <v>0</v>
      </c>
      <c r="L84" s="8">
        <v>43.4</v>
      </c>
      <c r="N84" s="7"/>
      <c r="O84" s="9"/>
    </row>
    <row r="85" spans="1:15">
      <c r="A85" s="5">
        <v>46058</v>
      </c>
      <c r="B85" s="6">
        <v>0.54166666666666663</v>
      </c>
      <c r="C85" s="6" t="s">
        <v>19</v>
      </c>
      <c r="D85" s="7" t="s">
        <v>20</v>
      </c>
      <c r="E85" s="7">
        <v>202510006</v>
      </c>
      <c r="F85" s="7">
        <v>68.900000000000006</v>
      </c>
      <c r="H85" s="8">
        <v>28</v>
      </c>
      <c r="J85" s="7">
        <f>VLOOKUP(D85, [1]設備資料!$A:$E, 5, 0)</f>
        <v>2</v>
      </c>
      <c r="K85" s="7">
        <f>IF(I85="", 0, IF(OR(I85=0, AND(J85=2, I85&gt;6.6), AND(J85=3, I85&gt;8.6), AND(J85=5, I85&gt;14.1)), 1, 0))</f>
        <v>0</v>
      </c>
      <c r="L85" s="8">
        <v>43.4</v>
      </c>
      <c r="N85" s="7"/>
      <c r="O85" s="9"/>
    </row>
    <row r="86" spans="1:15">
      <c r="A86" s="5">
        <v>46058</v>
      </c>
      <c r="B86" s="6">
        <v>0.54166666666666663</v>
      </c>
      <c r="C86" s="6" t="s">
        <v>19</v>
      </c>
      <c r="D86" s="7" t="s">
        <v>23</v>
      </c>
      <c r="E86" s="7">
        <v>202511011</v>
      </c>
      <c r="F86" s="7">
        <v>79.400000000000006</v>
      </c>
      <c r="G86" s="7">
        <v>80.2</v>
      </c>
      <c r="H86" s="8">
        <v>28</v>
      </c>
      <c r="J86" s="7">
        <f>VLOOKUP(D86, [1]設備資料!$A:$E, 5, 0)</f>
        <v>3</v>
      </c>
      <c r="K86" s="7">
        <f>IF(I86="", 0, IF(OR(I86=0, AND(J86=2, I86&gt;6.6), AND(J86=3, I86&gt;8.6), AND(J86=5, I86&gt;14.1)), 1, 0))</f>
        <v>0</v>
      </c>
      <c r="L86" s="8">
        <v>43.4</v>
      </c>
      <c r="N86" s="7"/>
      <c r="O86" s="9"/>
    </row>
    <row r="87" spans="1:15">
      <c r="A87" s="5">
        <v>46058</v>
      </c>
      <c r="B87" s="6">
        <v>0.54166666666666663</v>
      </c>
      <c r="C87" s="6" t="s">
        <v>19</v>
      </c>
      <c r="D87" s="7" t="s">
        <v>24</v>
      </c>
      <c r="E87" s="7">
        <v>202511012</v>
      </c>
      <c r="F87" s="7">
        <v>79.099999999999994</v>
      </c>
      <c r="H87" s="8">
        <v>28</v>
      </c>
      <c r="J87" s="7">
        <f>VLOOKUP(D87, [1]設備資料!$A:$E, 5, 0)</f>
        <v>3</v>
      </c>
      <c r="K87" s="7">
        <f>IF(I87="", 0, IF(OR(I87=0, AND(J87=2, I87&gt;6.6), AND(J87=3, I87&gt;8.6), AND(J87=5, I87&gt;14.1)), 1, 0))</f>
        <v>0</v>
      </c>
      <c r="L87" s="8">
        <v>43.4</v>
      </c>
      <c r="N87" s="7"/>
      <c r="O87" s="9"/>
    </row>
    <row r="88" spans="1:15">
      <c r="A88" s="5">
        <v>46058</v>
      </c>
      <c r="B88" s="6">
        <v>0.54166666666666663</v>
      </c>
      <c r="C88" s="6" t="s">
        <v>19</v>
      </c>
      <c r="D88" s="7" t="s">
        <v>25</v>
      </c>
      <c r="E88" s="7">
        <v>202511001</v>
      </c>
      <c r="F88" s="7">
        <v>96.2</v>
      </c>
      <c r="G88" s="7">
        <v>97.3</v>
      </c>
      <c r="H88" s="8">
        <v>28</v>
      </c>
      <c r="J88" s="7">
        <f>VLOOKUP(D88, [1]設備資料!$A:$E, 5, 0)</f>
        <v>5</v>
      </c>
      <c r="K88" s="7">
        <f>IF(I88="", 0, IF(OR(I88=0, AND(J88=2, I88&gt;6.6), AND(J88=3, I88&gt;8.6), AND(J88=5, I88&gt;14.1)), 1, 0))</f>
        <v>0</v>
      </c>
      <c r="L88" s="8">
        <v>43.4</v>
      </c>
      <c r="N88" s="7"/>
      <c r="O88" s="9"/>
    </row>
    <row r="89" spans="1:15">
      <c r="A89" s="5">
        <v>46058</v>
      </c>
      <c r="B89" s="6">
        <v>0.54166666666666663</v>
      </c>
      <c r="C89" s="6" t="s">
        <v>19</v>
      </c>
      <c r="D89" s="7" t="s">
        <v>26</v>
      </c>
      <c r="E89" s="7">
        <v>202511002</v>
      </c>
      <c r="F89" s="7">
        <v>96.3</v>
      </c>
      <c r="G89" s="7">
        <v>95.1</v>
      </c>
      <c r="H89" s="8">
        <v>28</v>
      </c>
      <c r="J89" s="7">
        <f>VLOOKUP(D89, [1]設備資料!$A:$E, 5, 0)</f>
        <v>5</v>
      </c>
      <c r="K89" s="7">
        <f>IF(I89="", 0, IF(OR(I89=0, AND(J89=2, I89&gt;6.6), AND(J89=3, I89&gt;8.6), AND(J89=5, I89&gt;14.1)), 1, 0))</f>
        <v>0</v>
      </c>
      <c r="L89" s="8">
        <v>43.4</v>
      </c>
      <c r="N89" s="7"/>
      <c r="O89" s="9"/>
    </row>
    <row r="90" spans="1:15">
      <c r="A90" s="5">
        <v>46058</v>
      </c>
      <c r="B90" s="11">
        <v>0.56944444444444442</v>
      </c>
      <c r="C90" s="6" t="s">
        <v>32</v>
      </c>
      <c r="D90" s="7" t="s">
        <v>31</v>
      </c>
      <c r="E90" s="7">
        <v>202510024</v>
      </c>
      <c r="F90" s="7">
        <v>73.400000000000006</v>
      </c>
      <c r="G90" s="7">
        <v>73.2</v>
      </c>
      <c r="H90" s="8">
        <v>28</v>
      </c>
      <c r="J90" s="7">
        <f>VLOOKUP(D90, [1]設備資料!$A:$E, 5, 0)</f>
        <v>2</v>
      </c>
      <c r="K90" s="7">
        <f>IF(I90="", 0, IF(OR(I90=0, AND(J90=2, I90&gt;6.6), AND(J90=3, I90&gt;8.6), AND(J90=5, I90&gt;14.1)), 1, 0))</f>
        <v>0</v>
      </c>
      <c r="M90" s="8">
        <v>42.6</v>
      </c>
      <c r="N90" s="7"/>
      <c r="O90" s="9"/>
    </row>
    <row r="91" spans="1:15">
      <c r="A91" s="5">
        <v>46058</v>
      </c>
      <c r="B91" s="11">
        <v>0.56944444444444442</v>
      </c>
      <c r="C91" s="6" t="s">
        <v>32</v>
      </c>
      <c r="D91" s="7" t="s">
        <v>33</v>
      </c>
      <c r="E91" s="7">
        <v>202510026</v>
      </c>
      <c r="F91" s="7">
        <v>76.8</v>
      </c>
      <c r="H91" s="8">
        <v>28</v>
      </c>
      <c r="J91" s="7">
        <f>VLOOKUP(D91, [1]設備資料!$A:$E, 5, 0)</f>
        <v>2</v>
      </c>
      <c r="K91" s="7">
        <f>IF(I91="", 0, IF(OR(I91=0, AND(J91=2, I91&gt;6.6), AND(J91=3, I91&gt;8.6), AND(J91=5, I91&gt;14.1)), 1, 0))</f>
        <v>0</v>
      </c>
      <c r="M91" s="8">
        <v>42.6</v>
      </c>
      <c r="N91" s="7"/>
      <c r="O91" s="9"/>
    </row>
    <row r="92" spans="1:15">
      <c r="A92" s="5">
        <v>46058</v>
      </c>
      <c r="B92" s="11">
        <v>0.56944444444444442</v>
      </c>
      <c r="C92" s="6" t="s">
        <v>32</v>
      </c>
      <c r="D92" s="7" t="s">
        <v>34</v>
      </c>
      <c r="E92" s="7">
        <v>202511017</v>
      </c>
      <c r="F92" s="7">
        <v>79.8</v>
      </c>
      <c r="G92" s="7">
        <v>80.2</v>
      </c>
      <c r="H92" s="8">
        <v>28</v>
      </c>
      <c r="J92" s="7">
        <f>VLOOKUP(D92, [1]設備資料!$A:$E, 5, 0)</f>
        <v>3</v>
      </c>
      <c r="K92" s="7">
        <f>IF(I92="", 0, IF(OR(I92=0, AND(J92=2, I92&gt;6.6), AND(J92=3, I92&gt;8.6), AND(J92=5, I92&gt;14.1)), 1, 0))</f>
        <v>0</v>
      </c>
      <c r="M92" s="8">
        <v>42.6</v>
      </c>
      <c r="N92" s="7"/>
      <c r="O92" s="9"/>
    </row>
    <row r="93" spans="1:15">
      <c r="A93" s="5">
        <v>46058</v>
      </c>
      <c r="B93" s="11">
        <v>0.56944444444444442</v>
      </c>
      <c r="C93" s="6" t="s">
        <v>32</v>
      </c>
      <c r="D93" s="7" t="s">
        <v>35</v>
      </c>
      <c r="E93" s="7">
        <v>202511005</v>
      </c>
      <c r="F93" s="7">
        <v>95.7</v>
      </c>
      <c r="G93" s="7">
        <v>91.5</v>
      </c>
      <c r="H93" s="8">
        <v>28</v>
      </c>
      <c r="J93" s="7">
        <f>VLOOKUP(D93, [1]設備資料!$A:$E, 5, 0)</f>
        <v>5</v>
      </c>
      <c r="K93" s="7">
        <f>IF(I93="", 0, IF(OR(I93=0, AND(J93=2, I93&gt;6.6), AND(J93=3, I93&gt;8.6), AND(J93=5, I93&gt;14.1)), 1, 0))</f>
        <v>0</v>
      </c>
      <c r="M93" s="8">
        <v>42.6</v>
      </c>
      <c r="N93" s="7"/>
      <c r="O93" s="9"/>
    </row>
    <row r="94" spans="1:15">
      <c r="A94" s="5">
        <v>46058</v>
      </c>
      <c r="B94" s="11">
        <v>0.56944444444444442</v>
      </c>
      <c r="C94" s="6" t="s">
        <v>32</v>
      </c>
      <c r="D94" s="7" t="s">
        <v>36</v>
      </c>
      <c r="E94" s="7" t="s">
        <v>37</v>
      </c>
      <c r="F94" s="7">
        <v>96.6</v>
      </c>
      <c r="G94" s="7">
        <v>92.1</v>
      </c>
      <c r="H94" s="8">
        <v>28</v>
      </c>
      <c r="J94" s="7">
        <f>VLOOKUP(D94, [1]設備資料!$A:$E, 5, 0)</f>
        <v>5</v>
      </c>
      <c r="K94" s="7">
        <f>IF(I94="", 0, IF(OR(I94=0, AND(J94=2, I94&gt;6.6), AND(J94=3, I94&gt;8.6), AND(J94=5, I94&gt;14.1)), 1, 0))</f>
        <v>0</v>
      </c>
      <c r="M94" s="8">
        <v>42.6</v>
      </c>
      <c r="N94" s="7"/>
      <c r="O94" s="9"/>
    </row>
    <row r="95" spans="1:15">
      <c r="A95" s="5">
        <v>46058</v>
      </c>
      <c r="B95" s="6">
        <v>0.70833333333333337</v>
      </c>
      <c r="C95" s="6" t="s">
        <v>19</v>
      </c>
      <c r="D95" s="7" t="s">
        <v>16</v>
      </c>
      <c r="E95" s="7">
        <v>202510001</v>
      </c>
      <c r="F95" s="7">
        <v>74.5</v>
      </c>
      <c r="G95" s="7">
        <v>74.2</v>
      </c>
      <c r="H95" s="8">
        <v>28</v>
      </c>
      <c r="I95" s="7">
        <v>5.8</v>
      </c>
      <c r="J95" s="7">
        <f>VLOOKUP(D95, [1]設備資料!$A:$E, 5, 0)</f>
        <v>2</v>
      </c>
      <c r="K95" s="7">
        <f>IF(I95="", 0, IF(OR(I95=0, AND(J95=2, I95&gt;6.6), AND(J95=3, I95&gt;8.6), AND(J95=5, I95&gt;14.1)), 1, 0))</f>
        <v>0</v>
      </c>
      <c r="L95" s="8">
        <v>44.2</v>
      </c>
      <c r="N95" s="7"/>
      <c r="O95" s="9"/>
    </row>
    <row r="96" spans="1:15">
      <c r="A96" s="5">
        <v>46058</v>
      </c>
      <c r="B96" s="6">
        <v>0.70833333333333337</v>
      </c>
      <c r="C96" s="6" t="s">
        <v>19</v>
      </c>
      <c r="D96" s="7" t="s">
        <v>20</v>
      </c>
      <c r="E96" s="7">
        <v>202510006</v>
      </c>
      <c r="F96" s="7">
        <v>69.7</v>
      </c>
      <c r="H96" s="8">
        <v>28</v>
      </c>
      <c r="I96" s="7">
        <v>6.04</v>
      </c>
      <c r="J96" s="7">
        <f>VLOOKUP(D96, [1]設備資料!$A:$E, 5, 0)</f>
        <v>2</v>
      </c>
      <c r="K96" s="7">
        <f>IF(I96="", 0, IF(OR(I96=0, AND(J96=2, I96&gt;6.6), AND(J96=3, I96&gt;8.6), AND(J96=5, I96&gt;14.1)), 1, 0))</f>
        <v>0</v>
      </c>
      <c r="L96" s="8">
        <v>44.2</v>
      </c>
      <c r="N96" s="7"/>
      <c r="O96" s="9"/>
    </row>
    <row r="97" spans="1:15">
      <c r="A97" s="5">
        <v>46058</v>
      </c>
      <c r="B97" s="6">
        <v>0.70833333333333337</v>
      </c>
      <c r="C97" s="6" t="s">
        <v>19</v>
      </c>
      <c r="D97" s="7" t="s">
        <v>23</v>
      </c>
      <c r="E97" s="7">
        <v>202511011</v>
      </c>
      <c r="F97" s="7">
        <v>80.900000000000006</v>
      </c>
      <c r="G97" s="7">
        <v>82</v>
      </c>
      <c r="H97" s="8">
        <v>28</v>
      </c>
      <c r="I97" s="7">
        <v>8.1</v>
      </c>
      <c r="J97" s="7">
        <f>VLOOKUP(D97, [1]設備資料!$A:$E, 5, 0)</f>
        <v>3</v>
      </c>
      <c r="K97" s="7">
        <f>IF(I97="", 0, IF(OR(I97=0, AND(J97=2, I97&gt;6.6), AND(J97=3, I97&gt;8.6), AND(J97=5, I97&gt;14.1)), 1, 0))</f>
        <v>0</v>
      </c>
      <c r="L97" s="8">
        <v>44.2</v>
      </c>
      <c r="N97" s="7"/>
      <c r="O97" s="9"/>
    </row>
    <row r="98" spans="1:15">
      <c r="A98" s="5">
        <v>46058</v>
      </c>
      <c r="B98" s="6">
        <v>0.70833333333333337</v>
      </c>
      <c r="C98" s="6" t="s">
        <v>19</v>
      </c>
      <c r="D98" s="7" t="s">
        <v>24</v>
      </c>
      <c r="E98" s="7">
        <v>202511012</v>
      </c>
      <c r="F98" s="7">
        <v>79.7</v>
      </c>
      <c r="H98" s="8">
        <v>28</v>
      </c>
      <c r="I98" s="7">
        <v>8.1</v>
      </c>
      <c r="J98" s="7">
        <f>VLOOKUP(D98, [1]設備資料!$A:$E, 5, 0)</f>
        <v>3</v>
      </c>
      <c r="K98" s="7">
        <f>IF(I98="", 0, IF(OR(I98=0, AND(J98=2, I98&gt;6.6), AND(J98=3, I98&gt;8.6), AND(J98=5, I98&gt;14.1)), 1, 0))</f>
        <v>0</v>
      </c>
      <c r="L98" s="8">
        <v>44.2</v>
      </c>
      <c r="N98" s="7"/>
      <c r="O98" s="9"/>
    </row>
    <row r="99" spans="1:15">
      <c r="A99" s="5">
        <v>46058</v>
      </c>
      <c r="B99" s="6">
        <v>0.70833333333333337</v>
      </c>
      <c r="C99" s="6" t="s">
        <v>19</v>
      </c>
      <c r="D99" s="7" t="s">
        <v>25</v>
      </c>
      <c r="E99" s="7">
        <v>202511001</v>
      </c>
      <c r="F99" s="7">
        <v>96.7</v>
      </c>
      <c r="G99" s="7">
        <v>98.1</v>
      </c>
      <c r="H99" s="8">
        <v>28</v>
      </c>
      <c r="I99" s="7">
        <v>13.32</v>
      </c>
      <c r="J99" s="7">
        <f>VLOOKUP(D99, [1]設備資料!$A:$E, 5, 0)</f>
        <v>5</v>
      </c>
      <c r="K99" s="7">
        <f>IF(I99="", 0, IF(OR(I99=0, AND(J99=2, I99&gt;6.6), AND(J99=3, I99&gt;8.6), AND(J99=5, I99&gt;14.1)), 1, 0))</f>
        <v>0</v>
      </c>
      <c r="L99" s="8">
        <v>44.2</v>
      </c>
      <c r="N99" s="7"/>
      <c r="O99" s="9"/>
    </row>
    <row r="100" spans="1:15">
      <c r="A100" s="5">
        <v>46058</v>
      </c>
      <c r="B100" s="6">
        <v>0.70833333333333337</v>
      </c>
      <c r="C100" s="6" t="s">
        <v>19</v>
      </c>
      <c r="D100" s="7" t="s">
        <v>26</v>
      </c>
      <c r="E100" s="7">
        <v>202511002</v>
      </c>
      <c r="F100" s="7">
        <v>96.7</v>
      </c>
      <c r="G100" s="7">
        <v>95.8</v>
      </c>
      <c r="H100" s="8">
        <v>28</v>
      </c>
      <c r="I100" s="7">
        <v>13.37</v>
      </c>
      <c r="J100" s="7">
        <f>VLOOKUP(D100, [1]設備資料!$A:$E, 5, 0)</f>
        <v>5</v>
      </c>
      <c r="K100" s="7">
        <f>IF(I100="", 0, IF(OR(I100=0, AND(J100=2, I100&gt;6.6), AND(J100=3, I100&gt;8.6), AND(J100=5, I100&gt;14.1)), 1, 0))</f>
        <v>0</v>
      </c>
      <c r="L100" s="8">
        <v>44.2</v>
      </c>
      <c r="N100" s="7"/>
      <c r="O100" s="9"/>
    </row>
    <row r="101" spans="1:15">
      <c r="A101" s="5">
        <v>46058</v>
      </c>
      <c r="B101" s="6">
        <v>0.69444444444444442</v>
      </c>
      <c r="C101" s="6" t="s">
        <v>32</v>
      </c>
      <c r="D101" s="7" t="s">
        <v>31</v>
      </c>
      <c r="E101" s="7">
        <v>202510024</v>
      </c>
      <c r="F101" s="7">
        <v>74.2</v>
      </c>
      <c r="G101" s="7">
        <v>72.2</v>
      </c>
      <c r="H101" s="8">
        <v>28</v>
      </c>
      <c r="I101" s="7">
        <v>6.21</v>
      </c>
      <c r="J101" s="7">
        <f>VLOOKUP(D101, [1]設備資料!$A:$E, 5, 0)</f>
        <v>2</v>
      </c>
      <c r="K101" s="7">
        <f>IF(I101="", 0, IF(OR(I101=0, AND(J101=2, I101&gt;6.6), AND(J101=3, I101&gt;8.6), AND(J101=5, I101&gt;14.1)), 1, 0))</f>
        <v>0</v>
      </c>
      <c r="M101" s="8">
        <v>43.3</v>
      </c>
      <c r="N101" s="7"/>
      <c r="O101" s="9"/>
    </row>
    <row r="102" spans="1:15">
      <c r="A102" s="5">
        <v>46058</v>
      </c>
      <c r="B102" s="6">
        <v>0.69444444444444442</v>
      </c>
      <c r="C102" s="6" t="s">
        <v>32</v>
      </c>
      <c r="D102" s="7" t="s">
        <v>33</v>
      </c>
      <c r="E102" s="7">
        <v>202510026</v>
      </c>
      <c r="F102" s="7">
        <v>77.900000000000006</v>
      </c>
      <c r="H102" s="8">
        <v>28</v>
      </c>
      <c r="I102" s="7">
        <v>6.18</v>
      </c>
      <c r="J102" s="7">
        <f>VLOOKUP(D102, [1]設備資料!$A:$E, 5, 0)</f>
        <v>2</v>
      </c>
      <c r="K102" s="7">
        <f>IF(I102="", 0, IF(OR(I102=0, AND(J102=2, I102&gt;6.6), AND(J102=3, I102&gt;8.6), AND(J102=5, I102&gt;14.1)), 1, 0))</f>
        <v>0</v>
      </c>
      <c r="M102" s="8">
        <v>43.3</v>
      </c>
      <c r="N102" s="7"/>
      <c r="O102" s="9"/>
    </row>
    <row r="103" spans="1:15">
      <c r="A103" s="5">
        <v>46058</v>
      </c>
      <c r="B103" s="6">
        <v>0.69444444444444442</v>
      </c>
      <c r="C103" s="6" t="s">
        <v>32</v>
      </c>
      <c r="D103" s="7" t="s">
        <v>34</v>
      </c>
      <c r="E103" s="7">
        <v>202511017</v>
      </c>
      <c r="F103" s="7">
        <v>80.599999999999994</v>
      </c>
      <c r="G103" s="7">
        <v>80.900000000000006</v>
      </c>
      <c r="H103" s="8">
        <v>28</v>
      </c>
      <c r="I103" s="7">
        <v>7.6</v>
      </c>
      <c r="J103" s="7">
        <f>VLOOKUP(D103, [1]設備資料!$A:$E, 5, 0)</f>
        <v>3</v>
      </c>
      <c r="K103" s="7">
        <f>IF(I103="", 0, IF(OR(I103=0, AND(J103=2, I103&gt;6.6), AND(J103=3, I103&gt;8.6), AND(J103=5, I103&gt;14.1)), 1, 0))</f>
        <v>0</v>
      </c>
      <c r="M103" s="8">
        <v>43.3</v>
      </c>
      <c r="N103" s="7"/>
      <c r="O103" s="9"/>
    </row>
    <row r="104" spans="1:15">
      <c r="A104" s="5">
        <v>46058</v>
      </c>
      <c r="B104" s="6">
        <v>0.69444444444444442</v>
      </c>
      <c r="C104" s="6" t="s">
        <v>32</v>
      </c>
      <c r="D104" s="7" t="s">
        <v>35</v>
      </c>
      <c r="E104" s="7">
        <v>202511005</v>
      </c>
      <c r="F104" s="7">
        <v>96.5</v>
      </c>
      <c r="G104" s="7">
        <v>92.1</v>
      </c>
      <c r="H104" s="8">
        <v>28</v>
      </c>
      <c r="I104" s="7">
        <v>12.79</v>
      </c>
      <c r="J104" s="7">
        <f>VLOOKUP(D104, [1]設備資料!$A:$E, 5, 0)</f>
        <v>5</v>
      </c>
      <c r="K104" s="7">
        <f>IF(I104="", 0, IF(OR(I104=0, AND(J104=2, I104&gt;6.6), AND(J104=3, I104&gt;8.6), AND(J104=5, I104&gt;14.1)), 1, 0))</f>
        <v>0</v>
      </c>
      <c r="M104" s="8">
        <v>43.3</v>
      </c>
      <c r="N104" s="7"/>
      <c r="O104" s="9"/>
    </row>
    <row r="105" spans="1:15">
      <c r="A105" s="5">
        <v>46058</v>
      </c>
      <c r="B105" s="6">
        <v>0.69444444444444442</v>
      </c>
      <c r="C105" s="6" t="s">
        <v>32</v>
      </c>
      <c r="D105" s="7" t="s">
        <v>36</v>
      </c>
      <c r="E105" s="7" t="s">
        <v>37</v>
      </c>
      <c r="F105" s="7">
        <v>97.8</v>
      </c>
      <c r="G105" s="7">
        <v>92.5</v>
      </c>
      <c r="H105" s="8">
        <v>28</v>
      </c>
      <c r="I105" s="7">
        <v>12.95</v>
      </c>
      <c r="J105" s="7">
        <f>VLOOKUP(D105, [1]設備資料!$A:$E, 5, 0)</f>
        <v>5</v>
      </c>
      <c r="K105" s="7">
        <f>IF(I105="", 0, IF(OR(I105=0, AND(J105=2, I105&gt;6.6), AND(J105=3, I105&gt;8.6), AND(J105=5, I105&gt;14.1)), 1, 0))</f>
        <v>0</v>
      </c>
      <c r="M105" s="8">
        <v>43.3</v>
      </c>
      <c r="N105" s="7"/>
      <c r="O105" s="9"/>
    </row>
    <row r="106" spans="1:15">
      <c r="A106" s="5">
        <v>46059</v>
      </c>
      <c r="B106" s="6">
        <v>0.33333333333333331</v>
      </c>
      <c r="C106" s="6" t="s">
        <v>19</v>
      </c>
      <c r="D106" s="7" t="s">
        <v>16</v>
      </c>
      <c r="E106" s="7">
        <v>202510001</v>
      </c>
      <c r="F106" s="7">
        <v>77.7</v>
      </c>
      <c r="G106" s="7">
        <v>77.2</v>
      </c>
      <c r="H106" s="8">
        <v>17</v>
      </c>
      <c r="I106" s="7">
        <v>6.13</v>
      </c>
      <c r="J106" s="7">
        <f>VLOOKUP(D106, [1]設備資料!$A:$E, 5, 0)</f>
        <v>2</v>
      </c>
      <c r="K106" s="7">
        <f>IF(I106="", 0, IF(OR(I106=0, AND(J106=2, I106&gt;6.6), AND(J106=3, I106&gt;8.6), AND(J106=5, I106&gt;14.1)), 1, 0))</f>
        <v>0</v>
      </c>
      <c r="L106" s="8">
        <v>47.2</v>
      </c>
      <c r="N106" s="7"/>
      <c r="O106" s="9"/>
    </row>
    <row r="107" spans="1:15">
      <c r="A107" s="5">
        <v>46059</v>
      </c>
      <c r="B107" s="6">
        <v>0.33333333333333331</v>
      </c>
      <c r="C107" s="6" t="s">
        <v>19</v>
      </c>
      <c r="D107" s="7" t="s">
        <v>20</v>
      </c>
      <c r="E107" s="7">
        <v>202510006</v>
      </c>
      <c r="F107" s="7">
        <v>72.7</v>
      </c>
      <c r="H107" s="8">
        <v>17</v>
      </c>
      <c r="I107" s="7">
        <v>6.25</v>
      </c>
      <c r="J107" s="7">
        <f>VLOOKUP(D107, [1]設備資料!$A:$E, 5, 0)</f>
        <v>2</v>
      </c>
      <c r="K107" s="7">
        <f>IF(I107="", 0, IF(OR(I107=0, AND(J107=2, I107&gt;6.6), AND(J107=3, I107&gt;8.6), AND(J107=5, I107&gt;14.1)), 1, 0))</f>
        <v>0</v>
      </c>
      <c r="L107" s="8">
        <v>47.2</v>
      </c>
      <c r="N107" s="7"/>
      <c r="O107" s="9"/>
    </row>
    <row r="108" spans="1:15">
      <c r="A108" s="5">
        <v>46059</v>
      </c>
      <c r="B108" s="6">
        <v>0.33333333333333331</v>
      </c>
      <c r="C108" s="6" t="s">
        <v>19</v>
      </c>
      <c r="D108" s="7" t="s">
        <v>23</v>
      </c>
      <c r="E108" s="7">
        <v>202511011</v>
      </c>
      <c r="F108" s="7">
        <v>84.2</v>
      </c>
      <c r="G108" s="7">
        <v>85.4</v>
      </c>
      <c r="H108" s="8">
        <v>17</v>
      </c>
      <c r="I108" s="7">
        <v>7.99</v>
      </c>
      <c r="J108" s="7">
        <f>VLOOKUP(D108, [1]設備資料!$A:$E, 5, 0)</f>
        <v>3</v>
      </c>
      <c r="K108" s="7">
        <f>IF(I108="", 0, IF(OR(I108=0, AND(J108=2, I108&gt;6.6), AND(J108=3, I108&gt;8.6), AND(J108=5, I108&gt;14.1)), 1, 0))</f>
        <v>0</v>
      </c>
      <c r="L108" s="8">
        <v>47.2</v>
      </c>
      <c r="N108" s="7"/>
      <c r="O108" s="9"/>
    </row>
    <row r="109" spans="1:15">
      <c r="A109" s="5">
        <v>46059</v>
      </c>
      <c r="B109" s="6">
        <v>0.33333333333333331</v>
      </c>
      <c r="C109" s="6" t="s">
        <v>19</v>
      </c>
      <c r="D109" s="7" t="s">
        <v>24</v>
      </c>
      <c r="E109" s="7">
        <v>202511012</v>
      </c>
      <c r="F109" s="7">
        <v>82.8</v>
      </c>
      <c r="H109" s="8">
        <v>17</v>
      </c>
      <c r="I109" s="7">
        <v>7.97</v>
      </c>
      <c r="J109" s="7">
        <f>VLOOKUP(D109, [1]設備資料!$A:$E, 5, 0)</f>
        <v>3</v>
      </c>
      <c r="K109" s="7">
        <f>IF(I109="", 0, IF(OR(I109=0, AND(J109=2, I109&gt;6.6), AND(J109=3, I109&gt;8.6), AND(J109=5, I109&gt;14.1)), 1, 0))</f>
        <v>0</v>
      </c>
      <c r="L109" s="8">
        <v>47.2</v>
      </c>
      <c r="N109" s="7"/>
      <c r="O109" s="9"/>
    </row>
    <row r="110" spans="1:15">
      <c r="A110" s="5">
        <v>46059</v>
      </c>
      <c r="B110" s="6">
        <v>0.33333333333333331</v>
      </c>
      <c r="C110" s="6" t="s">
        <v>19</v>
      </c>
      <c r="D110" s="7" t="s">
        <v>25</v>
      </c>
      <c r="E110" s="7">
        <v>202511001</v>
      </c>
      <c r="F110" s="7">
        <v>100.8</v>
      </c>
      <c r="G110" s="7">
        <v>102.4</v>
      </c>
      <c r="H110" s="8">
        <v>17</v>
      </c>
      <c r="I110" s="7">
        <v>13.28</v>
      </c>
      <c r="J110" s="7">
        <f>VLOOKUP(D110, [1]設備資料!$A:$E, 5, 0)</f>
        <v>5</v>
      </c>
      <c r="K110" s="7">
        <f>IF(I110="", 0, IF(OR(I110=0, AND(J110=2, I110&gt;6.6), AND(J110=3, I110&gt;8.6), AND(J110=5, I110&gt;14.1)), 1, 0))</f>
        <v>0</v>
      </c>
      <c r="L110" s="8">
        <v>47.2</v>
      </c>
      <c r="N110" s="7"/>
      <c r="O110" s="9"/>
    </row>
    <row r="111" spans="1:15">
      <c r="A111" s="5">
        <v>46059</v>
      </c>
      <c r="B111" s="6">
        <v>0.33333333333333331</v>
      </c>
      <c r="C111" s="6" t="s">
        <v>19</v>
      </c>
      <c r="D111" s="7" t="s">
        <v>26</v>
      </c>
      <c r="E111" s="7">
        <v>202511002</v>
      </c>
      <c r="F111" s="7">
        <v>100.1</v>
      </c>
      <c r="G111" s="7">
        <v>99.5</v>
      </c>
      <c r="H111" s="8">
        <v>17</v>
      </c>
      <c r="I111" s="7">
        <v>13.29</v>
      </c>
      <c r="J111" s="7">
        <f>VLOOKUP(D111, [1]設備資料!$A:$E, 5, 0)</f>
        <v>5</v>
      </c>
      <c r="K111" s="7">
        <f>IF(I111="", 0, IF(OR(I111=0, AND(J111=2, I111&gt;6.6), AND(J111=3, I111&gt;8.6), AND(J111=5, I111&gt;14.1)), 1, 0))</f>
        <v>0</v>
      </c>
      <c r="L111" s="8">
        <v>47.2</v>
      </c>
      <c r="N111" s="7"/>
      <c r="O111" s="9"/>
    </row>
    <row r="112" spans="1:15">
      <c r="A112" s="5">
        <v>46059</v>
      </c>
      <c r="B112" s="6">
        <v>0.3611111111111111</v>
      </c>
      <c r="C112" s="6" t="s">
        <v>32</v>
      </c>
      <c r="D112" s="7" t="s">
        <v>31</v>
      </c>
      <c r="E112" s="7">
        <v>202510024</v>
      </c>
      <c r="F112" s="7">
        <v>76.400000000000006</v>
      </c>
      <c r="G112" s="7">
        <v>76.400000000000006</v>
      </c>
      <c r="H112" s="8">
        <v>17</v>
      </c>
      <c r="I112" s="7">
        <v>6.32</v>
      </c>
      <c r="J112" s="7">
        <f>VLOOKUP(D112, [1]設備資料!$A:$E, 5, 0)</f>
        <v>2</v>
      </c>
      <c r="K112" s="7">
        <f>IF(I112="", 0, IF(OR(I112=0, AND(J112=2, I112&gt;6.6), AND(J112=3, I112&gt;8.6), AND(J112=5, I112&gt;14.1)), 1, 0))</f>
        <v>0</v>
      </c>
      <c r="M112" s="8">
        <v>46</v>
      </c>
      <c r="N112" s="7"/>
      <c r="O112" s="9"/>
    </row>
    <row r="113" spans="1:15">
      <c r="A113" s="5">
        <v>46059</v>
      </c>
      <c r="B113" s="6">
        <v>0.3611111111111111</v>
      </c>
      <c r="C113" s="6" t="s">
        <v>32</v>
      </c>
      <c r="D113" s="7" t="s">
        <v>33</v>
      </c>
      <c r="E113" s="7">
        <v>202510026</v>
      </c>
      <c r="F113" s="7">
        <v>79.8</v>
      </c>
      <c r="H113" s="8">
        <v>17</v>
      </c>
      <c r="I113" s="7">
        <v>6.34</v>
      </c>
      <c r="J113" s="7">
        <f>VLOOKUP(D113, [1]設備資料!$A:$E, 5, 0)</f>
        <v>2</v>
      </c>
      <c r="K113" s="7">
        <f>IF(I113="", 0, IF(OR(I113=0, AND(J113=2, I113&gt;6.6), AND(J113=3, I113&gt;8.6), AND(J113=5, I113&gt;14.1)), 1, 0))</f>
        <v>0</v>
      </c>
      <c r="M113" s="8">
        <v>46</v>
      </c>
      <c r="N113" s="7"/>
      <c r="O113" s="9"/>
    </row>
    <row r="114" spans="1:15">
      <c r="A114" s="5">
        <v>46059</v>
      </c>
      <c r="B114" s="6">
        <v>0.3611111111111111</v>
      </c>
      <c r="C114" s="6" t="s">
        <v>32</v>
      </c>
      <c r="D114" s="7" t="s">
        <v>34</v>
      </c>
      <c r="E114" s="7">
        <v>202511017</v>
      </c>
      <c r="F114" s="7">
        <v>83.3</v>
      </c>
      <c r="G114" s="7">
        <v>83.9</v>
      </c>
      <c r="H114" s="8">
        <v>17</v>
      </c>
      <c r="I114" s="7">
        <v>7.8</v>
      </c>
      <c r="J114" s="7">
        <f>VLOOKUP(D114, [1]設備資料!$A:$E, 5, 0)</f>
        <v>3</v>
      </c>
      <c r="K114" s="7">
        <f>IF(I114="", 0, IF(OR(I114=0, AND(J114=2, I114&gt;6.6), AND(J114=3, I114&gt;8.6), AND(J114=5, I114&gt;14.1)), 1, 0))</f>
        <v>0</v>
      </c>
      <c r="M114" s="8">
        <v>46</v>
      </c>
      <c r="N114" s="7"/>
      <c r="O114" s="9"/>
    </row>
    <row r="115" spans="1:15">
      <c r="A115" s="5">
        <v>46059</v>
      </c>
      <c r="B115" s="6">
        <v>0.3611111111111111</v>
      </c>
      <c r="C115" s="6" t="s">
        <v>32</v>
      </c>
      <c r="D115" s="7" t="s">
        <v>35</v>
      </c>
      <c r="E115" s="7">
        <v>202511005</v>
      </c>
      <c r="F115" s="7">
        <v>99.8</v>
      </c>
      <c r="G115" s="7">
        <v>95.1</v>
      </c>
      <c r="H115" s="8">
        <v>17</v>
      </c>
      <c r="I115" s="7">
        <v>13.39</v>
      </c>
      <c r="J115" s="7">
        <f>VLOOKUP(D115, [1]設備資料!$A:$E, 5, 0)</f>
        <v>5</v>
      </c>
      <c r="K115" s="7">
        <f>IF(I115="", 0, IF(OR(I115=0, AND(J115=2, I115&gt;6.6), AND(J115=3, I115&gt;8.6), AND(J115=5, I115&gt;14.1)), 1, 0))</f>
        <v>0</v>
      </c>
      <c r="M115" s="8">
        <v>46</v>
      </c>
      <c r="N115" s="7"/>
      <c r="O115" s="9"/>
    </row>
    <row r="116" spans="1:15">
      <c r="A116" s="5">
        <v>46059</v>
      </c>
      <c r="B116" s="6">
        <v>0.3611111111111111</v>
      </c>
      <c r="C116" s="6" t="s">
        <v>32</v>
      </c>
      <c r="D116" s="7" t="s">
        <v>36</v>
      </c>
      <c r="E116" s="7" t="s">
        <v>37</v>
      </c>
      <c r="F116" s="7">
        <v>100.9</v>
      </c>
      <c r="G116" s="7">
        <v>95.7</v>
      </c>
      <c r="H116" s="8">
        <v>17</v>
      </c>
      <c r="I116" s="7">
        <v>13.59</v>
      </c>
      <c r="J116" s="7">
        <f>VLOOKUP(D116, [1]設備資料!$A:$E, 5, 0)</f>
        <v>5</v>
      </c>
      <c r="K116" s="7">
        <f>IF(I116="", 0, IF(OR(I116=0, AND(J116=2, I116&gt;6.6), AND(J116=3, I116&gt;8.6), AND(J116=5, I116&gt;14.1)), 1, 0))</f>
        <v>0</v>
      </c>
      <c r="M116" s="8">
        <v>46</v>
      </c>
      <c r="N116" s="7"/>
      <c r="O116" s="9"/>
    </row>
    <row r="117" spans="1:15">
      <c r="A117" s="5">
        <v>46059</v>
      </c>
      <c r="B117" s="6">
        <v>0.45833333333333331</v>
      </c>
      <c r="C117" s="6" t="s">
        <v>19</v>
      </c>
      <c r="D117" s="7" t="s">
        <v>16</v>
      </c>
      <c r="E117" s="7">
        <v>202510001</v>
      </c>
      <c r="F117" s="7">
        <v>77.2</v>
      </c>
      <c r="G117" s="7">
        <v>76.8</v>
      </c>
      <c r="H117" s="8">
        <v>21</v>
      </c>
      <c r="J117" s="7">
        <f>VLOOKUP(D117, [1]設備資料!$A:$E, 5, 0)</f>
        <v>2</v>
      </c>
      <c r="K117" s="7">
        <f>IF(I117="", 0, IF(OR(I117=0, AND(J117=2, I117&gt;6.6), AND(J117=3, I117&gt;8.6), AND(J117=5, I117&gt;14.1)), 1, 0))</f>
        <v>0</v>
      </c>
      <c r="L117" s="8">
        <v>46.8</v>
      </c>
      <c r="N117" s="7"/>
      <c r="O117" s="9"/>
    </row>
    <row r="118" spans="1:15">
      <c r="A118" s="5">
        <v>46059</v>
      </c>
      <c r="B118" s="6">
        <v>0.45833333333333331</v>
      </c>
      <c r="C118" s="6" t="s">
        <v>19</v>
      </c>
      <c r="D118" s="7" t="s">
        <v>20</v>
      </c>
      <c r="E118" s="7">
        <v>202510006</v>
      </c>
      <c r="F118" s="7">
        <v>72.400000000000006</v>
      </c>
      <c r="H118" s="8">
        <v>21</v>
      </c>
      <c r="J118" s="7">
        <f>VLOOKUP(D118, [1]設備資料!$A:$E, 5, 0)</f>
        <v>2</v>
      </c>
      <c r="K118" s="7">
        <f>IF(I118="", 0, IF(OR(I118=0, AND(J118=2, I118&gt;6.6), AND(J118=3, I118&gt;8.6), AND(J118=5, I118&gt;14.1)), 1, 0))</f>
        <v>0</v>
      </c>
      <c r="L118" s="8">
        <v>46.8</v>
      </c>
      <c r="N118" s="7"/>
      <c r="O118" s="9"/>
    </row>
    <row r="119" spans="1:15">
      <c r="A119" s="5">
        <v>46059</v>
      </c>
      <c r="B119" s="6">
        <v>0.45833333333333331</v>
      </c>
      <c r="C119" s="6" t="s">
        <v>19</v>
      </c>
      <c r="D119" s="7" t="s">
        <v>23</v>
      </c>
      <c r="E119" s="7">
        <v>202511011</v>
      </c>
      <c r="F119" s="7">
        <v>83.9</v>
      </c>
      <c r="G119" s="7">
        <v>85</v>
      </c>
      <c r="H119" s="8">
        <v>21</v>
      </c>
      <c r="J119" s="7">
        <f>VLOOKUP(D119, [1]設備資料!$A:$E, 5, 0)</f>
        <v>3</v>
      </c>
      <c r="K119" s="7">
        <f>IF(I119="", 0, IF(OR(I119=0, AND(J119=2, I119&gt;6.6), AND(J119=3, I119&gt;8.6), AND(J119=5, I119&gt;14.1)), 1, 0))</f>
        <v>0</v>
      </c>
      <c r="L119" s="8">
        <v>46.8</v>
      </c>
      <c r="N119" s="7"/>
      <c r="O119" s="9"/>
    </row>
    <row r="120" spans="1:15">
      <c r="A120" s="5">
        <v>46059</v>
      </c>
      <c r="B120" s="6">
        <v>0.45833333333333331</v>
      </c>
      <c r="C120" s="6" t="s">
        <v>19</v>
      </c>
      <c r="D120" s="7" t="s">
        <v>24</v>
      </c>
      <c r="E120" s="7">
        <v>202511012</v>
      </c>
      <c r="F120" s="7">
        <v>82.5</v>
      </c>
      <c r="H120" s="8">
        <v>21</v>
      </c>
      <c r="J120" s="7">
        <f>VLOOKUP(D120, [1]設備資料!$A:$E, 5, 0)</f>
        <v>3</v>
      </c>
      <c r="K120" s="7">
        <f>IF(I120="", 0, IF(OR(I120=0, AND(J120=2, I120&gt;6.6), AND(J120=3, I120&gt;8.6), AND(J120=5, I120&gt;14.1)), 1, 0))</f>
        <v>0</v>
      </c>
      <c r="L120" s="8">
        <v>46.8</v>
      </c>
      <c r="N120" s="7"/>
      <c r="O120" s="9"/>
    </row>
    <row r="121" spans="1:15">
      <c r="A121" s="5">
        <v>46059</v>
      </c>
      <c r="B121" s="6">
        <v>0.45833333333333331</v>
      </c>
      <c r="C121" s="6" t="s">
        <v>19</v>
      </c>
      <c r="D121" s="7" t="s">
        <v>25</v>
      </c>
      <c r="E121" s="7">
        <v>202511001</v>
      </c>
      <c r="F121" s="7">
        <v>100.6</v>
      </c>
      <c r="G121" s="7">
        <v>101.9</v>
      </c>
      <c r="H121" s="8">
        <v>21</v>
      </c>
      <c r="J121" s="7">
        <f>VLOOKUP(D121, [1]設備資料!$A:$E, 5, 0)</f>
        <v>5</v>
      </c>
      <c r="K121" s="7">
        <f>IF(I121="", 0, IF(OR(I121=0, AND(J121=2, I121&gt;6.6), AND(J121=3, I121&gt;8.6), AND(J121=5, I121&gt;14.1)), 1, 0))</f>
        <v>0</v>
      </c>
      <c r="L121" s="8">
        <v>46.8</v>
      </c>
      <c r="N121" s="7"/>
      <c r="O121" s="9"/>
    </row>
    <row r="122" spans="1:15">
      <c r="A122" s="5">
        <v>46059</v>
      </c>
      <c r="B122" s="6">
        <v>0.45833333333333331</v>
      </c>
      <c r="C122" s="6" t="s">
        <v>19</v>
      </c>
      <c r="D122" s="7" t="s">
        <v>26</v>
      </c>
      <c r="E122" s="7">
        <v>202511002</v>
      </c>
      <c r="F122" s="7">
        <v>99.8</v>
      </c>
      <c r="G122" s="7">
        <v>99</v>
      </c>
      <c r="H122" s="8">
        <v>21</v>
      </c>
      <c r="J122" s="7">
        <f>VLOOKUP(D122, [1]設備資料!$A:$E, 5, 0)</f>
        <v>5</v>
      </c>
      <c r="K122" s="7">
        <f>IF(I122="", 0, IF(OR(I122=0, AND(J122=2, I122&gt;6.6), AND(J122=3, I122&gt;8.6), AND(J122=5, I122&gt;14.1)), 1, 0))</f>
        <v>0</v>
      </c>
      <c r="L122" s="8">
        <v>46.8</v>
      </c>
      <c r="N122" s="7"/>
      <c r="O122" s="9"/>
    </row>
    <row r="123" spans="1:15">
      <c r="A123" s="5">
        <v>46059</v>
      </c>
      <c r="B123" s="6">
        <v>0.4861111111111111</v>
      </c>
      <c r="C123" s="6" t="s">
        <v>32</v>
      </c>
      <c r="D123" s="7" t="s">
        <v>31</v>
      </c>
      <c r="E123" s="7">
        <v>202510024</v>
      </c>
      <c r="F123" s="7">
        <v>76.599999999999994</v>
      </c>
      <c r="G123" s="7">
        <v>76.7</v>
      </c>
      <c r="H123" s="8">
        <v>21</v>
      </c>
      <c r="J123" s="7">
        <f>VLOOKUP(D123, [1]設備資料!$A:$E, 5, 0)</f>
        <v>2</v>
      </c>
      <c r="K123" s="7">
        <f>IF(I123="", 0, IF(OR(I123=0, AND(J123=2, I123&gt;6.6), AND(J123=3, I123&gt;8.6), AND(J123=5, I123&gt;14.1)), 1, 0))</f>
        <v>0</v>
      </c>
      <c r="M123" s="8">
        <v>45.8</v>
      </c>
      <c r="N123" s="7"/>
      <c r="O123" s="9"/>
    </row>
    <row r="124" spans="1:15">
      <c r="A124" s="5">
        <v>46059</v>
      </c>
      <c r="B124" s="6">
        <v>0.4861111111111111</v>
      </c>
      <c r="C124" s="6" t="s">
        <v>32</v>
      </c>
      <c r="D124" s="7" t="s">
        <v>33</v>
      </c>
      <c r="E124" s="7">
        <v>202510026</v>
      </c>
      <c r="F124" s="12">
        <v>80.2</v>
      </c>
      <c r="H124" s="8">
        <v>21</v>
      </c>
      <c r="J124" s="7">
        <f>VLOOKUP(D124, [1]設備資料!$A:$E, 5, 0)</f>
        <v>2</v>
      </c>
      <c r="K124" s="7">
        <f>IF(I124="", 0, IF(OR(I124=0, AND(J124=2, I124&gt;6.6), AND(J124=3, I124&gt;8.6), AND(J124=5, I124&gt;14.1)), 1, 0))</f>
        <v>0</v>
      </c>
      <c r="M124" s="8">
        <v>45.8</v>
      </c>
      <c r="N124" s="7"/>
      <c r="O124" s="9"/>
    </row>
    <row r="125" spans="1:15">
      <c r="A125" s="5">
        <v>46059</v>
      </c>
      <c r="B125" s="6">
        <v>0.4861111111111111</v>
      </c>
      <c r="C125" s="6" t="s">
        <v>32</v>
      </c>
      <c r="D125" s="7" t="s">
        <v>34</v>
      </c>
      <c r="E125" s="7">
        <v>202511017</v>
      </c>
      <c r="F125" s="7">
        <v>83.8</v>
      </c>
      <c r="G125" s="7">
        <v>84.1</v>
      </c>
      <c r="H125" s="8">
        <v>21</v>
      </c>
      <c r="J125" s="7">
        <f>VLOOKUP(D125, [1]設備資料!$A:$E, 5, 0)</f>
        <v>3</v>
      </c>
      <c r="K125" s="7">
        <f>IF(I125="", 0, IF(OR(I125=0, AND(J125=2, I125&gt;6.6), AND(J125=3, I125&gt;8.6), AND(J125=5, I125&gt;14.1)), 1, 0))</f>
        <v>0</v>
      </c>
      <c r="M125" s="8">
        <v>45.8</v>
      </c>
      <c r="N125" s="7"/>
      <c r="O125" s="9"/>
    </row>
    <row r="126" spans="1:15">
      <c r="A126" s="5">
        <v>46059</v>
      </c>
      <c r="B126" s="6">
        <v>0.4861111111111111</v>
      </c>
      <c r="C126" s="6" t="s">
        <v>32</v>
      </c>
      <c r="D126" s="7" t="s">
        <v>35</v>
      </c>
      <c r="E126" s="7">
        <v>202511005</v>
      </c>
      <c r="F126" s="7">
        <v>100.3</v>
      </c>
      <c r="G126" s="7">
        <v>95.7</v>
      </c>
      <c r="H126" s="8">
        <v>21</v>
      </c>
      <c r="J126" s="7">
        <f>VLOOKUP(D126, [1]設備資料!$A:$E, 5, 0)</f>
        <v>5</v>
      </c>
      <c r="K126" s="7">
        <f>IF(I126="", 0, IF(OR(I126=0, AND(J126=2, I126&gt;6.6), AND(J126=3, I126&gt;8.6), AND(J126=5, I126&gt;14.1)), 1, 0))</f>
        <v>0</v>
      </c>
      <c r="M126" s="8">
        <v>45.8</v>
      </c>
      <c r="N126" s="7"/>
      <c r="O126" s="9"/>
    </row>
    <row r="127" spans="1:15">
      <c r="A127" s="5">
        <v>46059</v>
      </c>
      <c r="B127" s="6">
        <v>0.4861111111111111</v>
      </c>
      <c r="C127" s="6" t="s">
        <v>32</v>
      </c>
      <c r="D127" s="7" t="s">
        <v>36</v>
      </c>
      <c r="E127" s="7" t="s">
        <v>37</v>
      </c>
      <c r="F127" s="7">
        <v>101.7</v>
      </c>
      <c r="G127" s="7">
        <v>96.2</v>
      </c>
      <c r="H127" s="8">
        <v>21</v>
      </c>
      <c r="J127" s="7">
        <f>VLOOKUP(D127, [1]設備資料!$A:$E, 5, 0)</f>
        <v>5</v>
      </c>
      <c r="K127" s="7">
        <f>IF(I127="", 0, IF(OR(I127=0, AND(J127=2, I127&gt;6.6), AND(J127=3, I127&gt;8.6), AND(J127=5, I127&gt;14.1)), 1, 0))</f>
        <v>0</v>
      </c>
      <c r="M127" s="8">
        <v>45.8</v>
      </c>
      <c r="N127" s="7"/>
      <c r="O127" s="9"/>
    </row>
    <row r="128" spans="1:15">
      <c r="A128" s="5">
        <v>46059</v>
      </c>
      <c r="B128" s="6">
        <v>0.69444444444444442</v>
      </c>
      <c r="C128" s="6" t="s">
        <v>32</v>
      </c>
      <c r="D128" s="7" t="s">
        <v>31</v>
      </c>
      <c r="E128" s="7">
        <v>202510024</v>
      </c>
      <c r="F128" s="7">
        <v>76.400000000000006</v>
      </c>
      <c r="G128" s="7">
        <v>76.5</v>
      </c>
      <c r="H128" s="8">
        <v>22</v>
      </c>
      <c r="I128" s="7">
        <v>6.12</v>
      </c>
      <c r="J128" s="7">
        <f>VLOOKUP(D128, [1]設備資料!$A:$E, 5, 0)</f>
        <v>2</v>
      </c>
      <c r="K128" s="7">
        <f>IF(I128="", 0, IF(OR(I128=0, AND(J128=2, I128&gt;6.6), AND(J128=3, I128&gt;8.6), AND(J128=5, I128&gt;14.1)), 1, 0))</f>
        <v>0</v>
      </c>
      <c r="M128" s="8">
        <v>46.6</v>
      </c>
      <c r="N128" s="7"/>
      <c r="O128" s="9"/>
    </row>
    <row r="129" spans="1:15">
      <c r="A129" s="5">
        <v>46059</v>
      </c>
      <c r="B129" s="6">
        <v>0.69444444444444442</v>
      </c>
      <c r="C129" s="6" t="s">
        <v>32</v>
      </c>
      <c r="D129" s="7" t="s">
        <v>33</v>
      </c>
      <c r="E129" s="7">
        <v>202510026</v>
      </c>
      <c r="F129" s="7">
        <v>80.400000000000006</v>
      </c>
      <c r="H129" s="8">
        <v>22</v>
      </c>
      <c r="I129" s="7">
        <v>6.07</v>
      </c>
      <c r="J129" s="7">
        <f>VLOOKUP(D129, [1]設備資料!$A:$E, 5, 0)</f>
        <v>2</v>
      </c>
      <c r="K129" s="7">
        <f>IF(I129="", 0, IF(OR(I129=0, AND(J129=2, I129&gt;6.6), AND(J129=3, I129&gt;8.6), AND(J129=5, I129&gt;14.1)), 1, 0))</f>
        <v>0</v>
      </c>
      <c r="M129" s="8">
        <v>46.6</v>
      </c>
      <c r="N129" s="7"/>
      <c r="O129" s="9"/>
    </row>
    <row r="130" spans="1:15">
      <c r="A130" s="5">
        <v>46059</v>
      </c>
      <c r="B130" s="6">
        <v>0.69444444444444442</v>
      </c>
      <c r="C130" s="6" t="s">
        <v>32</v>
      </c>
      <c r="D130" s="7" t="s">
        <v>34</v>
      </c>
      <c r="E130" s="7">
        <v>202511017</v>
      </c>
      <c r="F130" s="7">
        <v>83.6</v>
      </c>
      <c r="G130" s="7">
        <v>83.9</v>
      </c>
      <c r="H130" s="8">
        <v>22</v>
      </c>
      <c r="I130" s="7">
        <v>7.92</v>
      </c>
      <c r="J130" s="7">
        <f>VLOOKUP(D130, [1]設備資料!$A:$E, 5, 0)</f>
        <v>3</v>
      </c>
      <c r="K130" s="7">
        <f>IF(I130="", 0, IF(OR(I130=0, AND(J130=2, I130&gt;6.6), AND(J130=3, I130&gt;8.6), AND(J130=5, I130&gt;14.1)), 1, 0))</f>
        <v>0</v>
      </c>
      <c r="M130" s="8">
        <v>46.6</v>
      </c>
      <c r="N130" s="7"/>
      <c r="O130" s="9"/>
    </row>
    <row r="131" spans="1:15">
      <c r="A131" s="5">
        <v>46059</v>
      </c>
      <c r="B131" s="6">
        <v>0.69444444444444442</v>
      </c>
      <c r="C131" s="6" t="s">
        <v>32</v>
      </c>
      <c r="D131" s="7" t="s">
        <v>35</v>
      </c>
      <c r="E131" s="7">
        <v>202511005</v>
      </c>
      <c r="F131" s="7">
        <v>100.3</v>
      </c>
      <c r="G131" s="7">
        <v>95.6</v>
      </c>
      <c r="H131" s="8">
        <v>22</v>
      </c>
      <c r="I131" s="7">
        <v>13.36</v>
      </c>
      <c r="J131" s="7">
        <f>VLOOKUP(D131, [1]設備資料!$A:$E, 5, 0)</f>
        <v>5</v>
      </c>
      <c r="K131" s="7">
        <f>IF(I131="", 0, IF(OR(I131=0, AND(J131=2, I131&gt;6.6), AND(J131=3, I131&gt;8.6), AND(J131=5, I131&gt;14.1)), 1, 0))</f>
        <v>0</v>
      </c>
      <c r="M131" s="8">
        <v>46.6</v>
      </c>
      <c r="N131" s="7"/>
      <c r="O131" s="9"/>
    </row>
    <row r="132" spans="1:15">
      <c r="A132" s="5">
        <v>46059</v>
      </c>
      <c r="B132" s="6">
        <v>0.69444444444444442</v>
      </c>
      <c r="C132" s="6" t="s">
        <v>32</v>
      </c>
      <c r="D132" s="7" t="s">
        <v>36</v>
      </c>
      <c r="E132" s="7" t="s">
        <v>37</v>
      </c>
      <c r="F132" s="7">
        <v>101.6</v>
      </c>
      <c r="G132" s="7">
        <v>96</v>
      </c>
      <c r="H132" s="8">
        <v>22</v>
      </c>
      <c r="I132" s="7">
        <v>13.21</v>
      </c>
      <c r="J132" s="7">
        <f>VLOOKUP(D132, [1]設備資料!$A:$E, 5, 0)</f>
        <v>5</v>
      </c>
      <c r="K132" s="7">
        <f>IF(I132="", 0, IF(OR(I132=0, AND(J132=2, I132&gt;6.6), AND(J132=3, I132&gt;8.6), AND(J132=5, I132&gt;14.1)), 1, 0))</f>
        <v>0</v>
      </c>
      <c r="M132" s="8">
        <v>46.6</v>
      </c>
      <c r="N132" s="7"/>
      <c r="O132" s="9"/>
    </row>
    <row r="133" spans="1:15">
      <c r="A133" s="5">
        <v>46059</v>
      </c>
      <c r="B133" s="6">
        <v>0.70833333333333337</v>
      </c>
      <c r="C133" s="6" t="s">
        <v>19</v>
      </c>
      <c r="D133" s="7" t="s">
        <v>16</v>
      </c>
      <c r="E133" s="7">
        <v>202510001</v>
      </c>
      <c r="F133" s="7">
        <v>77.3</v>
      </c>
      <c r="G133" s="7">
        <v>76.8</v>
      </c>
      <c r="H133" s="8">
        <v>22</v>
      </c>
      <c r="I133" s="7">
        <v>6.03</v>
      </c>
      <c r="J133" s="7">
        <f>VLOOKUP(D133, [1]設備資料!$A:$E, 5, 0)</f>
        <v>2</v>
      </c>
      <c r="K133" s="7">
        <f>IF(I133="", 0, IF(OR(I133=0, AND(J133=2, I133&gt;6.6), AND(J133=3, I133&gt;8.6), AND(J133=5, I133&gt;14.1)), 1, 0))</f>
        <v>0</v>
      </c>
      <c r="L133" s="8">
        <v>46.6</v>
      </c>
      <c r="N133" s="7"/>
      <c r="O133" s="9"/>
    </row>
    <row r="134" spans="1:15">
      <c r="A134" s="5">
        <v>46059</v>
      </c>
      <c r="B134" s="6">
        <v>0.70833333333333337</v>
      </c>
      <c r="C134" s="6" t="s">
        <v>19</v>
      </c>
      <c r="D134" s="7" t="s">
        <v>20</v>
      </c>
      <c r="E134" s="7">
        <v>202510006</v>
      </c>
      <c r="F134" s="7">
        <v>72.900000000000006</v>
      </c>
      <c r="H134" s="8">
        <v>22</v>
      </c>
      <c r="I134" s="7">
        <v>6.05</v>
      </c>
      <c r="J134" s="7">
        <f>VLOOKUP(D134, [1]設備資料!$A:$E, 5, 0)</f>
        <v>2</v>
      </c>
      <c r="K134" s="7">
        <f>IF(I134="", 0, IF(OR(I134=0, AND(J134=2, I134&gt;6.6), AND(J134=3, I134&gt;8.6), AND(J134=5, I134&gt;14.1)), 1, 0))</f>
        <v>0</v>
      </c>
      <c r="L134" s="8">
        <v>46.6</v>
      </c>
      <c r="N134" s="7"/>
      <c r="O134" s="9"/>
    </row>
    <row r="135" spans="1:15">
      <c r="A135" s="5">
        <v>46059</v>
      </c>
      <c r="B135" s="6">
        <v>0.70833333333333337</v>
      </c>
      <c r="C135" s="6" t="s">
        <v>19</v>
      </c>
      <c r="D135" s="7" t="s">
        <v>23</v>
      </c>
      <c r="E135" s="7">
        <v>202511011</v>
      </c>
      <c r="F135" s="7">
        <v>83.7</v>
      </c>
      <c r="G135" s="7">
        <v>84.8</v>
      </c>
      <c r="H135" s="8">
        <v>22</v>
      </c>
      <c r="I135" s="7">
        <v>8.2100000000000009</v>
      </c>
      <c r="J135" s="7">
        <f>VLOOKUP(D135, [1]設備資料!$A:$E, 5, 0)</f>
        <v>3</v>
      </c>
      <c r="K135" s="7">
        <f>IF(I135="", 0, IF(OR(I135=0, AND(J135=2, I135&gt;6.6), AND(J135=3, I135&gt;8.6), AND(J135=5, I135&gt;14.1)), 1, 0))</f>
        <v>0</v>
      </c>
      <c r="L135" s="8">
        <v>46.6</v>
      </c>
      <c r="N135" s="7"/>
      <c r="O135" s="9"/>
    </row>
    <row r="136" spans="1:15">
      <c r="A136" s="5">
        <v>46059</v>
      </c>
      <c r="B136" s="6">
        <v>0.70833333333333337</v>
      </c>
      <c r="C136" s="6" t="s">
        <v>19</v>
      </c>
      <c r="D136" s="7" t="s">
        <v>24</v>
      </c>
      <c r="E136" s="7">
        <v>202511012</v>
      </c>
      <c r="F136" s="7">
        <v>82.7</v>
      </c>
      <c r="H136" s="8">
        <v>22</v>
      </c>
      <c r="I136" s="7">
        <v>7.82</v>
      </c>
      <c r="J136" s="7">
        <f>VLOOKUP(D136, [1]設備資料!$A:$E, 5, 0)</f>
        <v>3</v>
      </c>
      <c r="K136" s="7">
        <f>IF(I136="", 0, IF(OR(I136=0, AND(J136=2, I136&gt;6.6), AND(J136=3, I136&gt;8.6), AND(J136=5, I136&gt;14.1)), 1, 0))</f>
        <v>0</v>
      </c>
      <c r="L136" s="8">
        <v>46.6</v>
      </c>
      <c r="N136" s="7"/>
      <c r="O136" s="9"/>
    </row>
    <row r="137" spans="1:15">
      <c r="A137" s="5">
        <v>46059</v>
      </c>
      <c r="B137" s="6">
        <v>0.70833333333333337</v>
      </c>
      <c r="C137" s="6" t="s">
        <v>19</v>
      </c>
      <c r="D137" s="7" t="s">
        <v>25</v>
      </c>
      <c r="E137" s="7">
        <v>202511001</v>
      </c>
      <c r="F137" s="7">
        <v>100.4</v>
      </c>
      <c r="G137" s="7">
        <v>101.6</v>
      </c>
      <c r="H137" s="8">
        <v>22</v>
      </c>
      <c r="I137" s="7">
        <v>13.85</v>
      </c>
      <c r="J137" s="7">
        <f>VLOOKUP(D137, [1]設備資料!$A:$E, 5, 0)</f>
        <v>5</v>
      </c>
      <c r="K137" s="7">
        <f>IF(I137="", 0, IF(OR(I137=0, AND(J137=2, I137&gt;6.6), AND(J137=3, I137&gt;8.6), AND(J137=5, I137&gt;14.1)), 1, 0))</f>
        <v>0</v>
      </c>
      <c r="L137" s="8">
        <v>46.6</v>
      </c>
      <c r="N137" s="7"/>
      <c r="O137" s="9"/>
    </row>
    <row r="138" spans="1:15">
      <c r="A138" s="5">
        <v>46059</v>
      </c>
      <c r="B138" s="6">
        <v>0.70833333333333337</v>
      </c>
      <c r="C138" s="6" t="s">
        <v>19</v>
      </c>
      <c r="D138" s="7" t="s">
        <v>26</v>
      </c>
      <c r="E138" s="7">
        <v>202511002</v>
      </c>
      <c r="F138" s="7">
        <v>100.1</v>
      </c>
      <c r="G138" s="7">
        <v>99.2</v>
      </c>
      <c r="H138" s="8">
        <v>22</v>
      </c>
      <c r="I138" s="7">
        <v>13.79</v>
      </c>
      <c r="J138" s="7">
        <f>VLOOKUP(D138, [1]設備資料!$A:$E, 5, 0)</f>
        <v>5</v>
      </c>
      <c r="K138" s="7">
        <f>IF(I138="", 0, IF(OR(I138=0, AND(J138=2, I138&gt;6.6), AND(J138=3, I138&gt;8.6), AND(J138=5, I138&gt;14.1)), 1, 0))</f>
        <v>0</v>
      </c>
      <c r="L138" s="8">
        <v>46.6</v>
      </c>
      <c r="N138" s="7"/>
      <c r="O138" s="9"/>
    </row>
    <row r="139" spans="1:15">
      <c r="A139" s="5">
        <v>46062</v>
      </c>
      <c r="B139" s="6">
        <v>0.33333333333333331</v>
      </c>
      <c r="C139" s="6" t="s">
        <v>19</v>
      </c>
      <c r="D139" s="7" t="s">
        <v>16</v>
      </c>
      <c r="E139" s="7">
        <v>202510001</v>
      </c>
      <c r="F139" s="7">
        <v>72.900000000000006</v>
      </c>
      <c r="G139" s="7">
        <v>72.3</v>
      </c>
      <c r="H139" s="8">
        <v>17</v>
      </c>
      <c r="I139" s="7">
        <v>6.05</v>
      </c>
      <c r="J139" s="7">
        <f>VLOOKUP(D139, [1]設備資料!$A:$E, 5, 0)</f>
        <v>2</v>
      </c>
      <c r="K139" s="7">
        <f>IF(I139="", 0, IF(OR(I139=0, AND(J139=2, I139&gt;6.6), AND(J139=3, I139&gt;8.6), AND(J139=5, I139&gt;14.1)), 1, 0))</f>
        <v>0</v>
      </c>
      <c r="L139" s="8">
        <v>42.8</v>
      </c>
      <c r="N139" s="7"/>
      <c r="O139" s="9"/>
    </row>
    <row r="140" spans="1:15">
      <c r="A140" s="5">
        <v>46062</v>
      </c>
      <c r="B140" s="6">
        <v>0.33333333333333331</v>
      </c>
      <c r="C140" s="6" t="s">
        <v>19</v>
      </c>
      <c r="D140" s="7" t="s">
        <v>20</v>
      </c>
      <c r="E140" s="7">
        <v>202510006</v>
      </c>
      <c r="F140" s="7">
        <v>68.7</v>
      </c>
      <c r="H140" s="8">
        <v>17</v>
      </c>
      <c r="I140" s="7">
        <v>5.88</v>
      </c>
      <c r="J140" s="7">
        <f>VLOOKUP(D140, [1]設備資料!$A:$E, 5, 0)</f>
        <v>2</v>
      </c>
      <c r="K140" s="7">
        <f>IF(I140="", 0, IF(OR(I140=0, AND(J140=2, I140&gt;6.6), AND(J140=3, I140&gt;8.6), AND(J140=5, I140&gt;14.1)), 1, 0))</f>
        <v>0</v>
      </c>
      <c r="L140" s="8">
        <v>42.8</v>
      </c>
      <c r="N140" s="7"/>
      <c r="O140" s="9"/>
    </row>
    <row r="141" spans="1:15">
      <c r="A141" s="5">
        <v>46062</v>
      </c>
      <c r="B141" s="6">
        <v>0.33333333333333331</v>
      </c>
      <c r="C141" s="6" t="s">
        <v>19</v>
      </c>
      <c r="D141" s="7" t="s">
        <v>23</v>
      </c>
      <c r="E141" s="7">
        <v>202511011</v>
      </c>
      <c r="F141" s="7">
        <v>79.400000000000006</v>
      </c>
      <c r="G141" s="7">
        <v>80.599999999999994</v>
      </c>
      <c r="H141" s="8">
        <v>17</v>
      </c>
      <c r="I141" s="7">
        <v>8.16</v>
      </c>
      <c r="J141" s="7">
        <f>VLOOKUP(D141, [1]設備資料!$A:$E, 5, 0)</f>
        <v>3</v>
      </c>
      <c r="K141" s="7">
        <f>IF(I141="", 0, IF(OR(I141=0, AND(J141=2, I141&gt;6.6), AND(J141=3, I141&gt;8.6), AND(J141=5, I141&gt;14.1)), 1, 0))</f>
        <v>0</v>
      </c>
      <c r="L141" s="8">
        <v>42.8</v>
      </c>
      <c r="N141" s="7"/>
      <c r="O141" s="9"/>
    </row>
    <row r="142" spans="1:15">
      <c r="A142" s="5">
        <v>46062</v>
      </c>
      <c r="B142" s="6">
        <v>0.33333333333333331</v>
      </c>
      <c r="C142" s="6" t="s">
        <v>19</v>
      </c>
      <c r="D142" s="7" t="s">
        <v>24</v>
      </c>
      <c r="E142" s="7">
        <v>202511012</v>
      </c>
      <c r="F142" s="7">
        <v>78.2</v>
      </c>
      <c r="H142" s="8">
        <v>17</v>
      </c>
      <c r="I142" s="7">
        <v>7.86</v>
      </c>
      <c r="J142" s="7">
        <f>VLOOKUP(D142, [1]設備資料!$A:$E, 5, 0)</f>
        <v>3</v>
      </c>
      <c r="K142" s="7">
        <f>IF(I142="", 0, IF(OR(I142=0, AND(J142=2, I142&gt;6.6), AND(J142=3, I142&gt;8.6), AND(J142=5, I142&gt;14.1)), 1, 0))</f>
        <v>0</v>
      </c>
      <c r="L142" s="8">
        <v>42.8</v>
      </c>
      <c r="N142" s="7"/>
      <c r="O142" s="9"/>
    </row>
    <row r="143" spans="1:15">
      <c r="A143" s="5">
        <v>46062</v>
      </c>
      <c r="B143" s="6">
        <v>0.33333333333333331</v>
      </c>
      <c r="C143" s="6" t="s">
        <v>19</v>
      </c>
      <c r="D143" s="7" t="s">
        <v>25</v>
      </c>
      <c r="E143" s="7">
        <v>202511001</v>
      </c>
      <c r="F143" s="7">
        <v>99.7</v>
      </c>
      <c r="G143" s="7">
        <v>101.1</v>
      </c>
      <c r="H143" s="8">
        <v>17</v>
      </c>
      <c r="I143" s="7">
        <v>13.82</v>
      </c>
      <c r="J143" s="7">
        <f>VLOOKUP(D143, [1]設備資料!$A:$E, 5, 0)</f>
        <v>5</v>
      </c>
      <c r="K143" s="7">
        <f>IF(I143="", 0, IF(OR(I143=0, AND(J143=2, I143&gt;6.6), AND(J143=3, I143&gt;8.6), AND(J143=5, I143&gt;14.1)), 1, 0))</f>
        <v>0</v>
      </c>
      <c r="L143" s="8">
        <v>42.8</v>
      </c>
      <c r="N143" s="7"/>
      <c r="O143" s="9"/>
    </row>
    <row r="144" spans="1:15">
      <c r="A144" s="5">
        <v>46062</v>
      </c>
      <c r="B144" s="6">
        <v>0.33333333333333331</v>
      </c>
      <c r="C144" s="6" t="s">
        <v>19</v>
      </c>
      <c r="D144" s="7" t="s">
        <v>26</v>
      </c>
      <c r="E144" s="7">
        <v>202511002</v>
      </c>
      <c r="F144" s="7">
        <v>98.3</v>
      </c>
      <c r="G144" s="7">
        <v>97.4</v>
      </c>
      <c r="H144" s="8">
        <v>17</v>
      </c>
      <c r="I144" s="7">
        <v>13.82</v>
      </c>
      <c r="J144" s="7">
        <f>VLOOKUP(D144, [1]設備資料!$A:$E, 5, 0)</f>
        <v>5</v>
      </c>
      <c r="K144" s="7">
        <f>IF(I144="", 0, IF(OR(I144=0, AND(J144=2, I144&gt;6.6), AND(J144=3, I144&gt;8.6), AND(J144=5, I144&gt;14.1)), 1, 0))</f>
        <v>0</v>
      </c>
      <c r="L144" s="8">
        <v>42.8</v>
      </c>
      <c r="N144" s="7"/>
      <c r="O144" s="9"/>
    </row>
    <row r="145" spans="1:15">
      <c r="A145" s="5">
        <v>46062</v>
      </c>
      <c r="B145" s="6">
        <v>0.3611111111111111</v>
      </c>
      <c r="C145" s="6" t="s">
        <v>32</v>
      </c>
      <c r="D145" s="7" t="s">
        <v>31</v>
      </c>
      <c r="E145" s="7">
        <v>202510024</v>
      </c>
      <c r="F145" s="7">
        <v>71.900000000000006</v>
      </c>
      <c r="G145" s="7">
        <v>72.099999999999994</v>
      </c>
      <c r="H145" s="8">
        <v>17</v>
      </c>
      <c r="I145" s="7">
        <v>6.15</v>
      </c>
      <c r="J145" s="7">
        <f>VLOOKUP(D145, [1]設備資料!$A:$E, 5, 0)</f>
        <v>2</v>
      </c>
      <c r="K145" s="7">
        <f>IF(I145="", 0, IF(OR(I145=0, AND(J145=2, I145&gt;6.6), AND(J145=3, I145&gt;8.6), AND(J145=5, I145&gt;14.1)), 1, 0))</f>
        <v>0</v>
      </c>
      <c r="M145" s="8">
        <v>41.7</v>
      </c>
      <c r="N145" s="7"/>
      <c r="O145" s="9"/>
    </row>
    <row r="146" spans="1:15">
      <c r="A146" s="5">
        <v>46062</v>
      </c>
      <c r="B146" s="6">
        <v>0.3611111111111111</v>
      </c>
      <c r="C146" s="6" t="s">
        <v>32</v>
      </c>
      <c r="D146" s="7" t="s">
        <v>33</v>
      </c>
      <c r="E146" s="7">
        <v>202510026</v>
      </c>
      <c r="F146" s="7">
        <v>75.900000000000006</v>
      </c>
      <c r="H146" s="8">
        <v>17</v>
      </c>
      <c r="I146" s="7">
        <v>6.07</v>
      </c>
      <c r="J146" s="7">
        <f>VLOOKUP(D146, [1]設備資料!$A:$E, 5, 0)</f>
        <v>2</v>
      </c>
      <c r="K146" s="7">
        <f>IF(I146="", 0, IF(OR(I146=0, AND(J146=2, I146&gt;6.6), AND(J146=3, I146&gt;8.6), AND(J146=5, I146&gt;14.1)), 1, 0))</f>
        <v>0</v>
      </c>
      <c r="M146" s="8">
        <v>41.7</v>
      </c>
      <c r="N146" s="7"/>
      <c r="O146" s="9"/>
    </row>
    <row r="147" spans="1:15">
      <c r="A147" s="5">
        <v>46062</v>
      </c>
      <c r="B147" s="6">
        <v>0.3611111111111111</v>
      </c>
      <c r="C147" s="6" t="s">
        <v>32</v>
      </c>
      <c r="D147" s="7" t="s">
        <v>34</v>
      </c>
      <c r="E147" s="7">
        <v>202511017</v>
      </c>
      <c r="F147" s="7">
        <v>79.2</v>
      </c>
      <c r="G147" s="7">
        <v>79.400000000000006</v>
      </c>
      <c r="H147" s="8">
        <v>17</v>
      </c>
      <c r="I147" s="7">
        <v>7.94</v>
      </c>
      <c r="J147" s="7">
        <f>VLOOKUP(D147, [1]設備資料!$A:$E, 5, 0)</f>
        <v>3</v>
      </c>
      <c r="K147" s="7">
        <f>IF(I147="", 0, IF(OR(I147=0, AND(J147=2, I147&gt;6.6), AND(J147=3, I147&gt;8.6), AND(J147=5, I147&gt;14.1)), 1, 0))</f>
        <v>0</v>
      </c>
      <c r="M147" s="8">
        <v>41.7</v>
      </c>
      <c r="N147" s="7"/>
      <c r="O147" s="9"/>
    </row>
    <row r="148" spans="1:15">
      <c r="A148" s="5">
        <v>46062</v>
      </c>
      <c r="B148" s="6">
        <v>0.3611111111111111</v>
      </c>
      <c r="C148" s="6" t="s">
        <v>32</v>
      </c>
      <c r="D148" s="7" t="s">
        <v>35</v>
      </c>
      <c r="E148" s="7">
        <v>202511005</v>
      </c>
      <c r="F148" s="7">
        <v>97.8</v>
      </c>
      <c r="G148" s="7">
        <v>92.7</v>
      </c>
      <c r="H148" s="8">
        <v>17</v>
      </c>
      <c r="I148" s="7">
        <v>13.34</v>
      </c>
      <c r="J148" s="7">
        <f>VLOOKUP(D148, [1]設備資料!$A:$E, 5, 0)</f>
        <v>5</v>
      </c>
      <c r="K148" s="7">
        <f>IF(I148="", 0, IF(OR(I148=0, AND(J148=2, I148&gt;6.6), AND(J148=3, I148&gt;8.6), AND(J148=5, I148&gt;14.1)), 1, 0))</f>
        <v>0</v>
      </c>
      <c r="M148" s="8">
        <v>41.7</v>
      </c>
      <c r="N148" s="7"/>
      <c r="O148" s="9"/>
    </row>
    <row r="149" spans="1:15">
      <c r="A149" s="5">
        <v>46062</v>
      </c>
      <c r="B149" s="6">
        <v>0.3611111111111111</v>
      </c>
      <c r="C149" s="6" t="s">
        <v>32</v>
      </c>
      <c r="D149" s="7" t="s">
        <v>36</v>
      </c>
      <c r="E149" s="7" t="s">
        <v>37</v>
      </c>
      <c r="F149" s="7">
        <v>99</v>
      </c>
      <c r="G149" s="7">
        <v>93</v>
      </c>
      <c r="H149" s="8">
        <v>17</v>
      </c>
      <c r="I149" s="7">
        <v>13.27</v>
      </c>
      <c r="J149" s="7">
        <f>VLOOKUP(D149, [1]設備資料!$A:$E, 5, 0)</f>
        <v>5</v>
      </c>
      <c r="K149" s="7">
        <f>IF(I149="", 0, IF(OR(I149=0, AND(J149=2, I149&gt;6.6), AND(J149=3, I149&gt;8.6), AND(J149=5, I149&gt;14.1)), 1, 0))</f>
        <v>0</v>
      </c>
      <c r="M149" s="8">
        <v>41.7</v>
      </c>
      <c r="N149" s="7"/>
      <c r="O149" s="9"/>
    </row>
    <row r="150" spans="1:15">
      <c r="A150" s="5">
        <v>46062</v>
      </c>
      <c r="B150" s="6">
        <v>0.69444444444444442</v>
      </c>
      <c r="C150" s="6" t="s">
        <v>32</v>
      </c>
      <c r="D150" s="7" t="s">
        <v>31</v>
      </c>
      <c r="E150" s="7">
        <v>202510024</v>
      </c>
      <c r="F150" s="7">
        <v>71.7</v>
      </c>
      <c r="G150" s="7">
        <v>71.7</v>
      </c>
      <c r="H150" s="8">
        <v>22</v>
      </c>
      <c r="I150" s="7">
        <v>6.11</v>
      </c>
      <c r="J150" s="7">
        <f>VLOOKUP(D150, [1]設備資料!$A:$E, 5, 0)</f>
        <v>2</v>
      </c>
      <c r="K150" s="7">
        <f>IF(I150="", 0, IF(OR(I150=0, AND(J150=2, I150&gt;6.6), AND(J150=3, I150&gt;8.6), AND(J150=5, I150&gt;14.1)), 1, 0))</f>
        <v>0</v>
      </c>
      <c r="M150" s="8">
        <v>41.2</v>
      </c>
      <c r="N150" s="7"/>
      <c r="O150" s="9"/>
    </row>
    <row r="151" spans="1:15">
      <c r="A151" s="5">
        <v>46062</v>
      </c>
      <c r="B151" s="6">
        <v>0.69444444444444442</v>
      </c>
      <c r="C151" s="6" t="s">
        <v>32</v>
      </c>
      <c r="D151" s="7" t="s">
        <v>33</v>
      </c>
      <c r="E151" s="7">
        <v>202510026</v>
      </c>
      <c r="F151" s="7">
        <v>75.599999999999994</v>
      </c>
      <c r="H151" s="8">
        <v>22</v>
      </c>
      <c r="I151" s="7">
        <v>6.22</v>
      </c>
      <c r="J151" s="7">
        <f>VLOOKUP(D151, [1]設備資料!$A:$E, 5, 0)</f>
        <v>2</v>
      </c>
      <c r="K151" s="7">
        <f>IF(I151="", 0, IF(OR(I151=0, AND(J151=2, I151&gt;6.6), AND(J151=3, I151&gt;8.6), AND(J151=5, I151&gt;14.1)), 1, 0))</f>
        <v>0</v>
      </c>
      <c r="M151" s="8">
        <v>41.2</v>
      </c>
      <c r="N151" s="7"/>
      <c r="O151" s="9"/>
    </row>
    <row r="152" spans="1:15">
      <c r="A152" s="5">
        <v>46062</v>
      </c>
      <c r="B152" s="6">
        <v>0.69444444444444442</v>
      </c>
      <c r="C152" s="6" t="s">
        <v>32</v>
      </c>
      <c r="D152" s="7" t="s">
        <v>34</v>
      </c>
      <c r="E152" s="7">
        <v>202511017</v>
      </c>
      <c r="F152" s="7">
        <v>78.5</v>
      </c>
      <c r="G152" s="7">
        <v>78.599999999999994</v>
      </c>
      <c r="H152" s="8">
        <v>22</v>
      </c>
      <c r="I152" s="7">
        <v>8.1</v>
      </c>
      <c r="J152" s="7">
        <f>VLOOKUP(D152, [1]設備資料!$A:$E, 5, 0)</f>
        <v>3</v>
      </c>
      <c r="K152" s="7">
        <f>IF(I152="", 0, IF(OR(I152=0, AND(J152=2, I152&gt;6.6), AND(J152=3, I152&gt;8.6), AND(J152=5, I152&gt;14.1)), 1, 0))</f>
        <v>0</v>
      </c>
      <c r="M152" s="8">
        <v>41.2</v>
      </c>
      <c r="N152" s="7"/>
      <c r="O152" s="9"/>
    </row>
    <row r="153" spans="1:15">
      <c r="A153" s="5">
        <v>46062</v>
      </c>
      <c r="B153" s="6">
        <v>0.69444444444444442</v>
      </c>
      <c r="C153" s="6" t="s">
        <v>32</v>
      </c>
      <c r="D153" s="7" t="s">
        <v>35</v>
      </c>
      <c r="E153" s="7">
        <v>202511005</v>
      </c>
      <c r="F153" s="7">
        <v>97</v>
      </c>
      <c r="G153" s="7">
        <v>92.2</v>
      </c>
      <c r="H153" s="8">
        <v>22</v>
      </c>
      <c r="I153" s="7">
        <v>13.65</v>
      </c>
      <c r="J153" s="7">
        <f>VLOOKUP(D153, [1]設備資料!$A:$E, 5, 0)</f>
        <v>5</v>
      </c>
      <c r="K153" s="7">
        <f>IF(I153="", 0, IF(OR(I153=0, AND(J153=2, I153&gt;6.6), AND(J153=3, I153&gt;8.6), AND(J153=5, I153&gt;14.1)), 1, 0))</f>
        <v>0</v>
      </c>
      <c r="M153" s="8">
        <v>41.2</v>
      </c>
      <c r="N153" s="7"/>
      <c r="O153" s="9"/>
    </row>
    <row r="154" spans="1:15">
      <c r="A154" s="5">
        <v>46062</v>
      </c>
      <c r="B154" s="6">
        <v>0.69444444444444442</v>
      </c>
      <c r="C154" s="6" t="s">
        <v>32</v>
      </c>
      <c r="D154" s="7" t="s">
        <v>36</v>
      </c>
      <c r="E154" s="7" t="s">
        <v>37</v>
      </c>
      <c r="F154" s="7">
        <v>98.6</v>
      </c>
      <c r="G154" s="7">
        <v>92.6</v>
      </c>
      <c r="H154" s="8">
        <v>22</v>
      </c>
      <c r="I154" s="7">
        <v>13.34</v>
      </c>
      <c r="J154" s="7">
        <f>VLOOKUP(D154, [1]設備資料!$A:$E, 5, 0)</f>
        <v>5</v>
      </c>
      <c r="K154" s="7">
        <f>IF(I154="", 0, IF(OR(I154=0, AND(J154=2, I154&gt;6.6), AND(J154=3, I154&gt;8.6), AND(J154=5, I154&gt;14.1)), 1, 0))</f>
        <v>0</v>
      </c>
      <c r="M154" s="8">
        <v>41.2</v>
      </c>
      <c r="N154" s="7"/>
      <c r="O154" s="9"/>
    </row>
    <row r="155" spans="1:15">
      <c r="A155" s="5">
        <v>46062</v>
      </c>
      <c r="B155" s="6">
        <v>0.70833333333333337</v>
      </c>
      <c r="C155" s="6" t="s">
        <v>19</v>
      </c>
      <c r="D155" s="7" t="s">
        <v>16</v>
      </c>
      <c r="E155" s="7">
        <v>202510001</v>
      </c>
      <c r="F155" s="7">
        <v>72.2</v>
      </c>
      <c r="G155" s="7">
        <v>71.599999999999994</v>
      </c>
      <c r="H155" s="8">
        <v>22</v>
      </c>
      <c r="I155" s="7">
        <v>6.31</v>
      </c>
      <c r="J155" s="7">
        <f>VLOOKUP(D155, [1]設備資料!$A:$E, 5, 0)</f>
        <v>2</v>
      </c>
      <c r="K155" s="7">
        <f>IF(I155="", 0, IF(OR(I155=0, AND(J155=2, I155&gt;6.6), AND(J155=3, I155&gt;8.6), AND(J155=5, I155&gt;14.1)), 1, 0))</f>
        <v>0</v>
      </c>
      <c r="L155" s="8">
        <v>42.1</v>
      </c>
      <c r="N155" s="7"/>
      <c r="O155" s="9"/>
    </row>
    <row r="156" spans="1:15">
      <c r="A156" s="5">
        <v>46062</v>
      </c>
      <c r="B156" s="6">
        <v>0.70833333333333337</v>
      </c>
      <c r="C156" s="6" t="s">
        <v>19</v>
      </c>
      <c r="D156" s="7" t="s">
        <v>20</v>
      </c>
      <c r="E156" s="7">
        <v>202510006</v>
      </c>
      <c r="F156" s="7">
        <v>68.099999999999994</v>
      </c>
      <c r="H156" s="8">
        <v>22</v>
      </c>
      <c r="I156" s="7">
        <v>5.72</v>
      </c>
      <c r="J156" s="7">
        <f>VLOOKUP(D156, [1]設備資料!$A:$E, 5, 0)</f>
        <v>2</v>
      </c>
      <c r="K156" s="7">
        <f>IF(I156="", 0, IF(OR(I156=0, AND(J156=2, I156&gt;6.6), AND(J156=3, I156&gt;8.6), AND(J156=5, I156&gt;14.1)), 1, 0))</f>
        <v>0</v>
      </c>
      <c r="L156" s="8">
        <v>42.1</v>
      </c>
      <c r="N156" s="7"/>
      <c r="O156" s="9"/>
    </row>
    <row r="157" spans="1:15">
      <c r="A157" s="5">
        <v>46062</v>
      </c>
      <c r="B157" s="6">
        <v>0.70833333333333337</v>
      </c>
      <c r="C157" s="6" t="s">
        <v>19</v>
      </c>
      <c r="D157" s="7" t="s">
        <v>23</v>
      </c>
      <c r="E157" s="7">
        <v>202511011</v>
      </c>
      <c r="F157" s="7">
        <v>78.099999999999994</v>
      </c>
      <c r="G157" s="7">
        <v>79.400000000000006</v>
      </c>
      <c r="H157" s="8">
        <v>22</v>
      </c>
      <c r="I157" s="7">
        <v>8.2899999999999991</v>
      </c>
      <c r="J157" s="7">
        <f>VLOOKUP(D157, [1]設備資料!$A:$E, 5, 0)</f>
        <v>3</v>
      </c>
      <c r="K157" s="7">
        <f>IF(I157="", 0, IF(OR(I157=0, AND(J157=2, I157&gt;6.6), AND(J157=3, I157&gt;8.6), AND(J157=5, I157&gt;14.1)), 1, 0))</f>
        <v>0</v>
      </c>
      <c r="L157" s="8">
        <v>42.1</v>
      </c>
      <c r="N157" s="7"/>
      <c r="O157" s="9"/>
    </row>
    <row r="158" spans="1:15">
      <c r="A158" s="5">
        <v>46062</v>
      </c>
      <c r="B158" s="6">
        <v>0.70833333333333337</v>
      </c>
      <c r="C158" s="6" t="s">
        <v>19</v>
      </c>
      <c r="D158" s="7" t="s">
        <v>24</v>
      </c>
      <c r="E158" s="7">
        <v>202511012</v>
      </c>
      <c r="F158" s="7">
        <v>77.3</v>
      </c>
      <c r="H158" s="8">
        <v>22</v>
      </c>
      <c r="I158" s="7">
        <v>8.11</v>
      </c>
      <c r="J158" s="7">
        <f>VLOOKUP(D158, [1]設備資料!$A:$E, 5, 0)</f>
        <v>3</v>
      </c>
      <c r="K158" s="7">
        <f>IF(I158="", 0, IF(OR(I158=0, AND(J158=2, I158&gt;6.6), AND(J158=3, I158&gt;8.6), AND(J158=5, I158&gt;14.1)), 1, 0))</f>
        <v>0</v>
      </c>
      <c r="L158" s="8">
        <v>42.1</v>
      </c>
      <c r="N158" s="7"/>
      <c r="O158" s="9"/>
    </row>
    <row r="159" spans="1:15">
      <c r="A159" s="5">
        <v>46062</v>
      </c>
      <c r="B159" s="6">
        <v>0.70833333333333337</v>
      </c>
      <c r="C159" s="6" t="s">
        <v>19</v>
      </c>
      <c r="D159" s="7" t="s">
        <v>25</v>
      </c>
      <c r="E159" s="7">
        <v>202511001</v>
      </c>
      <c r="F159" s="7">
        <v>98.8</v>
      </c>
      <c r="G159" s="7">
        <v>100.3</v>
      </c>
      <c r="H159" s="8">
        <v>22</v>
      </c>
      <c r="I159" s="7">
        <v>13.52</v>
      </c>
      <c r="J159" s="7">
        <f>VLOOKUP(D159, [1]設備資料!$A:$E, 5, 0)</f>
        <v>5</v>
      </c>
      <c r="K159" s="7">
        <f>IF(I159="", 0, IF(OR(I159=0, AND(J159=2, I159&gt;6.6), AND(J159=3, I159&gt;8.6), AND(J159=5, I159&gt;14.1)), 1, 0))</f>
        <v>0</v>
      </c>
      <c r="L159" s="8">
        <v>42.1</v>
      </c>
      <c r="N159" s="7"/>
      <c r="O159" s="9"/>
    </row>
    <row r="160" spans="1:15">
      <c r="A160" s="5">
        <v>46062</v>
      </c>
      <c r="B160" s="6">
        <v>0.70833333333333337</v>
      </c>
      <c r="C160" s="6" t="s">
        <v>19</v>
      </c>
      <c r="D160" s="7" t="s">
        <v>26</v>
      </c>
      <c r="E160" s="7">
        <v>202511002</v>
      </c>
      <c r="F160" s="7">
        <v>97</v>
      </c>
      <c r="G160" s="7">
        <v>96.2</v>
      </c>
      <c r="H160" s="8">
        <v>22</v>
      </c>
      <c r="I160" s="7">
        <v>13.91</v>
      </c>
      <c r="J160" s="7">
        <f>VLOOKUP(D160, [1]設備資料!$A:$E, 5, 0)</f>
        <v>5</v>
      </c>
      <c r="K160" s="7">
        <f>IF(I160="", 0, IF(OR(I160=0, AND(J160=2, I160&gt;6.6), AND(J160=3, I160&gt;8.6), AND(J160=5, I160&gt;14.1)), 1, 0))</f>
        <v>0</v>
      </c>
      <c r="L160" s="8">
        <v>42.1</v>
      </c>
      <c r="N160" s="7"/>
      <c r="O160" s="9"/>
    </row>
    <row r="161" spans="1:15">
      <c r="A161" s="5">
        <v>46063</v>
      </c>
      <c r="B161" s="6">
        <v>0.33333333333333331</v>
      </c>
      <c r="C161" s="6" t="s">
        <v>19</v>
      </c>
      <c r="D161" s="7" t="s">
        <v>16</v>
      </c>
      <c r="E161" s="7">
        <v>202510001</v>
      </c>
      <c r="F161" s="7">
        <v>73.7</v>
      </c>
      <c r="G161" s="7">
        <v>73.2</v>
      </c>
      <c r="H161" s="8">
        <v>16</v>
      </c>
      <c r="I161" s="7">
        <v>6.35</v>
      </c>
      <c r="J161" s="7">
        <f>VLOOKUP(D161, [1]設備資料!$A:$E, 5, 0)</f>
        <v>2</v>
      </c>
      <c r="K161" s="7">
        <f>IF(I161="", 0, IF(OR(I161=0, AND(J161=2, I161&gt;6.6), AND(J161=3, I161&gt;8.6), AND(J161=5, I161&gt;14.1)), 1, 0))</f>
        <v>0</v>
      </c>
      <c r="L161" s="8">
        <v>43.4</v>
      </c>
      <c r="N161" s="7"/>
      <c r="O161" s="9"/>
    </row>
    <row r="162" spans="1:15">
      <c r="A162" s="5">
        <v>46063</v>
      </c>
      <c r="B162" s="6">
        <v>0.33333333333333331</v>
      </c>
      <c r="C162" s="6" t="s">
        <v>19</v>
      </c>
      <c r="D162" s="7" t="s">
        <v>20</v>
      </c>
      <c r="E162" s="7">
        <v>202510006</v>
      </c>
      <c r="F162" s="7">
        <v>69.5</v>
      </c>
      <c r="H162" s="8">
        <v>16</v>
      </c>
      <c r="I162" s="7">
        <v>5.88</v>
      </c>
      <c r="J162" s="7">
        <f>VLOOKUP(D162, [1]設備資料!$A:$E, 5, 0)</f>
        <v>2</v>
      </c>
      <c r="K162" s="7">
        <f>IF(I162="", 0, IF(OR(I162=0, AND(J162=2, I162&gt;6.6), AND(J162=3, I162&gt;8.6), AND(J162=5, I162&gt;14.1)), 1, 0))</f>
        <v>0</v>
      </c>
      <c r="L162" s="8">
        <v>43.4</v>
      </c>
      <c r="N162" s="7"/>
      <c r="O162" s="9"/>
    </row>
    <row r="163" spans="1:15">
      <c r="A163" s="5">
        <v>46063</v>
      </c>
      <c r="B163" s="6">
        <v>0.33333333333333331</v>
      </c>
      <c r="C163" s="6" t="s">
        <v>19</v>
      </c>
      <c r="D163" s="7" t="s">
        <v>23</v>
      </c>
      <c r="E163" s="7">
        <v>202511011</v>
      </c>
      <c r="F163" s="7">
        <v>80.400000000000006</v>
      </c>
      <c r="G163" s="7">
        <v>81.599999999999994</v>
      </c>
      <c r="H163" s="8">
        <v>16</v>
      </c>
      <c r="I163" s="7">
        <v>8.31</v>
      </c>
      <c r="J163" s="7">
        <f>VLOOKUP(D163, [1]設備資料!$A:$E, 5, 0)</f>
        <v>3</v>
      </c>
      <c r="K163" s="7">
        <f>IF(I163="", 0, IF(OR(I163=0, AND(J163=2, I163&gt;6.6), AND(J163=3, I163&gt;8.6), AND(J163=5, I163&gt;14.1)), 1, 0))</f>
        <v>0</v>
      </c>
      <c r="L163" s="8">
        <v>43.4</v>
      </c>
      <c r="N163" s="7"/>
      <c r="O163" s="9"/>
    </row>
    <row r="164" spans="1:15">
      <c r="A164" s="5">
        <v>46063</v>
      </c>
      <c r="B164" s="6">
        <v>0.33333333333333331</v>
      </c>
      <c r="C164" s="6" t="s">
        <v>19</v>
      </c>
      <c r="D164" s="7" t="s">
        <v>24</v>
      </c>
      <c r="E164" s="7">
        <v>202511012</v>
      </c>
      <c r="F164" s="7">
        <v>79.8</v>
      </c>
      <c r="H164" s="8">
        <v>16</v>
      </c>
      <c r="I164" s="7">
        <v>8.1300000000000008</v>
      </c>
      <c r="J164" s="7">
        <f>VLOOKUP(D164, [1]設備資料!$A:$E, 5, 0)</f>
        <v>3</v>
      </c>
      <c r="K164" s="7">
        <f>IF(I164="", 0, IF(OR(I164=0, AND(J164=2, I164&gt;6.6), AND(J164=3, I164&gt;8.6), AND(J164=5, I164&gt;14.1)), 1, 0))</f>
        <v>0</v>
      </c>
      <c r="L164" s="8">
        <v>43.4</v>
      </c>
      <c r="N164" s="7"/>
      <c r="O164" s="9"/>
    </row>
    <row r="165" spans="1:15">
      <c r="A165" s="5">
        <v>46063</v>
      </c>
      <c r="B165" s="6">
        <v>0.33333333333333331</v>
      </c>
      <c r="C165" s="6" t="s">
        <v>19</v>
      </c>
      <c r="D165" s="7" t="s">
        <v>25</v>
      </c>
      <c r="E165" s="7">
        <v>202511001</v>
      </c>
      <c r="F165" s="7">
        <v>101.5</v>
      </c>
      <c r="G165" s="7">
        <v>102.8</v>
      </c>
      <c r="H165" s="8">
        <v>16</v>
      </c>
      <c r="I165" s="7">
        <v>13.49</v>
      </c>
      <c r="J165" s="7">
        <f>VLOOKUP(D165, [1]設備資料!$A:$E, 5, 0)</f>
        <v>5</v>
      </c>
      <c r="K165" s="7">
        <f>IF(I165="", 0, IF(OR(I165=0, AND(J165=2, I165&gt;6.6), AND(J165=3, I165&gt;8.6), AND(J165=5, I165&gt;14.1)), 1, 0))</f>
        <v>0</v>
      </c>
      <c r="L165" s="8">
        <v>43.4</v>
      </c>
      <c r="N165" s="7"/>
      <c r="O165" s="9"/>
    </row>
    <row r="166" spans="1:15">
      <c r="A166" s="5">
        <v>46063</v>
      </c>
      <c r="B166" s="6">
        <v>0.33333333333333331</v>
      </c>
      <c r="C166" s="6" t="s">
        <v>19</v>
      </c>
      <c r="D166" s="7" t="s">
        <v>26</v>
      </c>
      <c r="E166" s="7">
        <v>202511002</v>
      </c>
      <c r="F166" s="7">
        <v>98.8</v>
      </c>
      <c r="G166" s="7">
        <v>97.8</v>
      </c>
      <c r="H166" s="8">
        <v>16</v>
      </c>
      <c r="I166" s="7">
        <v>13.88</v>
      </c>
      <c r="J166" s="7">
        <f>VLOOKUP(D166, [1]設備資料!$A:$E, 5, 0)</f>
        <v>5</v>
      </c>
      <c r="K166" s="7">
        <f>IF(I166="", 0, IF(OR(I166=0, AND(J166=2, I166&gt;6.6), AND(J166=3, I166&gt;8.6), AND(J166=5, I166&gt;14.1)), 1, 0))</f>
        <v>0</v>
      </c>
      <c r="L166" s="8">
        <v>43.4</v>
      </c>
      <c r="N166" s="7"/>
      <c r="O166" s="9"/>
    </row>
    <row r="167" spans="1:15">
      <c r="A167" s="5">
        <v>46063</v>
      </c>
      <c r="B167" s="6">
        <v>0.3611111111111111</v>
      </c>
      <c r="C167" s="6" t="s">
        <v>32</v>
      </c>
      <c r="D167" s="7" t="s">
        <v>31</v>
      </c>
      <c r="E167" s="7">
        <v>202510024</v>
      </c>
      <c r="F167" s="7">
        <v>73</v>
      </c>
      <c r="G167" s="7">
        <v>73.099999999999994</v>
      </c>
      <c r="H167" s="8">
        <v>16</v>
      </c>
      <c r="I167" s="7">
        <v>6.09</v>
      </c>
      <c r="J167" s="7">
        <f>VLOOKUP(D167, [1]設備資料!$A:$E, 5, 0)</f>
        <v>2</v>
      </c>
      <c r="K167" s="7">
        <f>IF(I167="", 0, IF(OR(I167=0, AND(J167=2, I167&gt;6.6), AND(J167=3, I167&gt;8.6), AND(J167=5, I167&gt;14.1)), 1, 0))</f>
        <v>0</v>
      </c>
      <c r="M167" s="8">
        <v>42.3</v>
      </c>
      <c r="N167" s="7"/>
      <c r="O167" s="9"/>
    </row>
    <row r="168" spans="1:15">
      <c r="A168" s="5">
        <v>46063</v>
      </c>
      <c r="B168" s="6">
        <v>0.3611111111111111</v>
      </c>
      <c r="C168" s="6" t="s">
        <v>32</v>
      </c>
      <c r="D168" s="7" t="s">
        <v>33</v>
      </c>
      <c r="E168" s="7">
        <v>202510026</v>
      </c>
      <c r="F168" s="7">
        <v>77.2</v>
      </c>
      <c r="H168" s="8">
        <v>16</v>
      </c>
      <c r="I168" s="7">
        <v>6.28</v>
      </c>
      <c r="J168" s="7">
        <f>VLOOKUP(D168, [1]設備資料!$A:$E, 5, 0)</f>
        <v>2</v>
      </c>
      <c r="K168" s="7">
        <f>IF(I168="", 0, IF(OR(I168=0, AND(J168=2, I168&gt;6.6), AND(J168=3, I168&gt;8.6), AND(J168=5, I168&gt;14.1)), 1, 0))</f>
        <v>0</v>
      </c>
      <c r="M168" s="8">
        <v>42.3</v>
      </c>
      <c r="N168" s="7"/>
      <c r="O168" s="9"/>
    </row>
    <row r="169" spans="1:15">
      <c r="A169" s="5">
        <v>46063</v>
      </c>
      <c r="B169" s="6">
        <v>0.3611111111111111</v>
      </c>
      <c r="C169" s="6" t="s">
        <v>32</v>
      </c>
      <c r="D169" s="7" t="s">
        <v>34</v>
      </c>
      <c r="E169" s="7">
        <v>202511017</v>
      </c>
      <c r="F169" s="7">
        <v>80.599999999999994</v>
      </c>
      <c r="G169" s="7">
        <v>80.8</v>
      </c>
      <c r="H169" s="8">
        <v>16</v>
      </c>
      <c r="I169" s="7">
        <v>8.1199999999999992</v>
      </c>
      <c r="J169" s="7">
        <f>VLOOKUP(D169, [1]設備資料!$A:$E, 5, 0)</f>
        <v>3</v>
      </c>
      <c r="K169" s="7">
        <f>IF(I169="", 0, IF(OR(I169=0, AND(J169=2, I169&gt;6.6), AND(J169=3, I169&gt;8.6), AND(J169=5, I169&gt;14.1)), 1, 0))</f>
        <v>0</v>
      </c>
      <c r="M169" s="8">
        <v>42.3</v>
      </c>
      <c r="N169" s="7"/>
      <c r="O169" s="9"/>
    </row>
    <row r="170" spans="1:15">
      <c r="A170" s="5">
        <v>46063</v>
      </c>
      <c r="B170" s="6">
        <v>0.3611111111111111</v>
      </c>
      <c r="C170" s="6" t="s">
        <v>32</v>
      </c>
      <c r="D170" s="7" t="s">
        <v>35</v>
      </c>
      <c r="E170" s="7">
        <v>202511005</v>
      </c>
      <c r="F170" s="7">
        <v>99.9</v>
      </c>
      <c r="G170" s="7">
        <v>95.1</v>
      </c>
      <c r="H170" s="8">
        <v>16</v>
      </c>
      <c r="I170" s="7">
        <v>13.72</v>
      </c>
      <c r="J170" s="7">
        <f>VLOOKUP(D170, [1]設備資料!$A:$E, 5, 0)</f>
        <v>5</v>
      </c>
      <c r="K170" s="7">
        <f>IF(I170="", 0, IF(OR(I170=0, AND(J170=2, I170&gt;6.6), AND(J170=3, I170&gt;8.6), AND(J170=5, I170&gt;14.1)), 1, 0))</f>
        <v>0</v>
      </c>
      <c r="M170" s="8">
        <v>42.3</v>
      </c>
      <c r="N170" s="7"/>
      <c r="O170" s="9"/>
    </row>
    <row r="171" spans="1:15">
      <c r="A171" s="5">
        <v>46063</v>
      </c>
      <c r="B171" s="6">
        <v>0.3611111111111111</v>
      </c>
      <c r="C171" s="6" t="s">
        <v>32</v>
      </c>
      <c r="D171" s="7" t="s">
        <v>36</v>
      </c>
      <c r="E171" s="7" t="s">
        <v>37</v>
      </c>
      <c r="F171" s="7">
        <v>101.2</v>
      </c>
      <c r="G171" s="7">
        <v>95.2</v>
      </c>
      <c r="H171" s="8">
        <v>16</v>
      </c>
      <c r="I171" s="7">
        <v>13.36</v>
      </c>
      <c r="J171" s="7">
        <f>VLOOKUP(D171, [1]設備資料!$A:$E, 5, 0)</f>
        <v>5</v>
      </c>
      <c r="K171" s="7">
        <f>IF(I171="", 0, IF(OR(I171=0, AND(J171=2, I171&gt;6.6), AND(J171=3, I171&gt;8.6), AND(J171=5, I171&gt;14.1)), 1, 0))</f>
        <v>0</v>
      </c>
      <c r="M171" s="8">
        <v>42.3</v>
      </c>
      <c r="N171" s="7"/>
      <c r="O171" s="9"/>
    </row>
    <row r="172" spans="1:15">
      <c r="A172" s="5">
        <v>46063</v>
      </c>
      <c r="B172" s="6">
        <v>0.69444444444444442</v>
      </c>
      <c r="C172" s="6" t="s">
        <v>32</v>
      </c>
      <c r="D172" s="7" t="s">
        <v>31</v>
      </c>
      <c r="E172" s="7">
        <v>202510024</v>
      </c>
      <c r="F172" s="7">
        <v>73.400000000000006</v>
      </c>
      <c r="G172" s="7">
        <v>73.3</v>
      </c>
      <c r="H172" s="8">
        <v>24</v>
      </c>
      <c r="I172" s="7">
        <v>6.21</v>
      </c>
      <c r="J172" s="7">
        <f>VLOOKUP(D172, [1]設備資料!$A:$E, 5, 0)</f>
        <v>2</v>
      </c>
      <c r="K172" s="7">
        <f>IF(I172="", 0, IF(OR(I172=0, AND(J172=2, I172&gt;6.6), AND(J172=3, I172&gt;8.6), AND(J172=5, I172&gt;14.1)), 1, 0))</f>
        <v>0</v>
      </c>
      <c r="M172" s="8">
        <v>42.8</v>
      </c>
      <c r="N172" s="7"/>
      <c r="O172" s="9"/>
    </row>
    <row r="173" spans="1:15">
      <c r="A173" s="5">
        <v>46063</v>
      </c>
      <c r="B173" s="6">
        <v>0.69444444444444442</v>
      </c>
      <c r="C173" s="6" t="s">
        <v>32</v>
      </c>
      <c r="D173" s="7" t="s">
        <v>33</v>
      </c>
      <c r="E173" s="7">
        <v>202510026</v>
      </c>
      <c r="F173" s="7">
        <v>77.3</v>
      </c>
      <c r="H173" s="8">
        <v>24</v>
      </c>
      <c r="I173" s="7">
        <v>6.25</v>
      </c>
      <c r="J173" s="7">
        <f>VLOOKUP(D173, [1]設備資料!$A:$E, 5, 0)</f>
        <v>2</v>
      </c>
      <c r="K173" s="7">
        <f>IF(I173="", 0, IF(OR(I173=0, AND(J173=2, I173&gt;6.6), AND(J173=3, I173&gt;8.6), AND(J173=5, I173&gt;14.1)), 1, 0))</f>
        <v>0</v>
      </c>
      <c r="M173" s="8">
        <v>42.8</v>
      </c>
      <c r="N173" s="7"/>
      <c r="O173" s="9"/>
    </row>
    <row r="174" spans="1:15">
      <c r="A174" s="5">
        <v>46063</v>
      </c>
      <c r="B174" s="6">
        <v>0.69444444444444442</v>
      </c>
      <c r="C174" s="6" t="s">
        <v>32</v>
      </c>
      <c r="D174" s="7" t="s">
        <v>34</v>
      </c>
      <c r="E174" s="7">
        <v>202511017</v>
      </c>
      <c r="F174" s="7">
        <v>80</v>
      </c>
      <c r="G174" s="7">
        <v>80.400000000000006</v>
      </c>
      <c r="H174" s="8">
        <v>24</v>
      </c>
      <c r="I174" s="7">
        <v>7.95</v>
      </c>
      <c r="J174" s="7">
        <f>VLOOKUP(D174, [1]設備資料!$A:$E, 5, 0)</f>
        <v>3</v>
      </c>
      <c r="K174" s="7">
        <f>IF(I174="", 0, IF(OR(I174=0, AND(J174=2, I174&gt;6.6), AND(J174=3, I174&gt;8.6), AND(J174=5, I174&gt;14.1)), 1, 0))</f>
        <v>0</v>
      </c>
      <c r="M174" s="8">
        <v>42.8</v>
      </c>
      <c r="N174" s="7"/>
      <c r="O174" s="9"/>
    </row>
    <row r="175" spans="1:15">
      <c r="A175" s="5">
        <v>46063</v>
      </c>
      <c r="B175" s="6">
        <v>0.69444444444444442</v>
      </c>
      <c r="C175" s="6" t="s">
        <v>32</v>
      </c>
      <c r="D175" s="7" t="s">
        <v>35</v>
      </c>
      <c r="E175" s="7">
        <v>202511005</v>
      </c>
      <c r="F175" s="7">
        <v>100</v>
      </c>
      <c r="G175" s="7">
        <v>95.2</v>
      </c>
      <c r="H175" s="8">
        <v>24</v>
      </c>
      <c r="I175" s="7">
        <v>13.81</v>
      </c>
      <c r="J175" s="7">
        <f>VLOOKUP(D175, [1]設備資料!$A:$E, 5, 0)</f>
        <v>5</v>
      </c>
      <c r="K175" s="7">
        <f>IF(I175="", 0, IF(OR(I175=0, AND(J175=2, I175&gt;6.6), AND(J175=3, I175&gt;8.6), AND(J175=5, I175&gt;14.1)), 1, 0))</f>
        <v>0</v>
      </c>
      <c r="M175" s="8">
        <v>42.8</v>
      </c>
      <c r="N175" s="7"/>
      <c r="O175" s="9"/>
    </row>
    <row r="176" spans="1:15">
      <c r="A176" s="5">
        <v>46063</v>
      </c>
      <c r="B176" s="6">
        <v>0.69444444444444442</v>
      </c>
      <c r="C176" s="6" t="s">
        <v>32</v>
      </c>
      <c r="D176" s="7" t="s">
        <v>36</v>
      </c>
      <c r="E176" s="7" t="s">
        <v>37</v>
      </c>
      <c r="F176" s="7">
        <v>100.6</v>
      </c>
      <c r="G176" s="7">
        <v>95</v>
      </c>
      <c r="H176" s="8">
        <v>24</v>
      </c>
      <c r="I176" s="7">
        <v>13.75</v>
      </c>
      <c r="J176" s="7">
        <f>VLOOKUP(D176, [1]設備資料!$A:$E, 5, 0)</f>
        <v>5</v>
      </c>
      <c r="K176" s="7">
        <f>IF(I176="", 0, IF(OR(I176=0, AND(J176=2, I176&gt;6.6), AND(J176=3, I176&gt;8.6), AND(J176=5, I176&gt;14.1)), 1, 0))</f>
        <v>0</v>
      </c>
      <c r="M176" s="8">
        <v>42.8</v>
      </c>
      <c r="N176" s="7"/>
      <c r="O176" s="9"/>
    </row>
    <row r="177" spans="1:15">
      <c r="A177" s="5">
        <v>46063</v>
      </c>
      <c r="B177" s="6">
        <v>0.70833333333333337</v>
      </c>
      <c r="C177" s="6" t="s">
        <v>19</v>
      </c>
      <c r="D177" s="7" t="s">
        <v>16</v>
      </c>
      <c r="E177" s="7">
        <v>202510001</v>
      </c>
      <c r="F177" s="7">
        <v>73.7</v>
      </c>
      <c r="G177" s="7">
        <v>73.2</v>
      </c>
      <c r="H177" s="8">
        <v>24</v>
      </c>
      <c r="I177" s="7">
        <v>6.54</v>
      </c>
      <c r="J177" s="7">
        <f>VLOOKUP(D177, [1]設備資料!$A:$E, 5, 0)</f>
        <v>2</v>
      </c>
      <c r="K177" s="7">
        <f>IF(I177="", 0, IF(OR(I177=0, AND(J177=2, I177&gt;6.6), AND(J177=3, I177&gt;8.6), AND(J177=5, I177&gt;14.1)), 1, 0))</f>
        <v>0</v>
      </c>
      <c r="L177" s="8">
        <v>43.7</v>
      </c>
      <c r="N177" s="7"/>
      <c r="O177" s="9"/>
    </row>
    <row r="178" spans="1:15">
      <c r="A178" s="5">
        <v>46063</v>
      </c>
      <c r="B178" s="6">
        <v>0.70833333333333337</v>
      </c>
      <c r="C178" s="6" t="s">
        <v>19</v>
      </c>
      <c r="D178" s="7" t="s">
        <v>20</v>
      </c>
      <c r="E178" s="7">
        <v>202510006</v>
      </c>
      <c r="F178" s="7">
        <v>69.5</v>
      </c>
      <c r="H178" s="8">
        <v>24</v>
      </c>
      <c r="I178" s="7">
        <v>6.21</v>
      </c>
      <c r="J178" s="7">
        <f>VLOOKUP(D178, [1]設備資料!$A:$E, 5, 0)</f>
        <v>2</v>
      </c>
      <c r="K178" s="7">
        <f>IF(I178="", 0, IF(OR(I178=0, AND(J178=2, I178&gt;6.6), AND(J178=3, I178&gt;8.6), AND(J178=5, I178&gt;14.1)), 1, 0))</f>
        <v>0</v>
      </c>
      <c r="L178" s="8">
        <v>43.7</v>
      </c>
      <c r="N178" s="7"/>
      <c r="O178" s="9"/>
    </row>
    <row r="179" spans="1:15">
      <c r="A179" s="5">
        <v>46063</v>
      </c>
      <c r="B179" s="6">
        <v>0.70833333333333337</v>
      </c>
      <c r="C179" s="6" t="s">
        <v>19</v>
      </c>
      <c r="D179" s="7" t="s">
        <v>23</v>
      </c>
      <c r="E179" s="7">
        <v>202511011</v>
      </c>
      <c r="F179" s="7">
        <v>79.900000000000006</v>
      </c>
      <c r="G179" s="7">
        <v>81</v>
      </c>
      <c r="H179" s="8">
        <v>24</v>
      </c>
      <c r="I179" s="7">
        <v>8.11</v>
      </c>
      <c r="J179" s="7">
        <f>VLOOKUP(D179, [1]設備資料!$A:$E, 5, 0)</f>
        <v>3</v>
      </c>
      <c r="K179" s="7">
        <f>IF(I179="", 0, IF(OR(I179=0, AND(J179=2, I179&gt;6.6), AND(J179=3, I179&gt;8.6), AND(J179=5, I179&gt;14.1)), 1, 0))</f>
        <v>0</v>
      </c>
      <c r="L179" s="8">
        <v>43.7</v>
      </c>
      <c r="N179" s="7"/>
      <c r="O179" s="9"/>
    </row>
    <row r="180" spans="1:15">
      <c r="A180" s="5">
        <v>46063</v>
      </c>
      <c r="B180" s="6">
        <v>0.70833333333333337</v>
      </c>
      <c r="C180" s="6" t="s">
        <v>19</v>
      </c>
      <c r="D180" s="7" t="s">
        <v>24</v>
      </c>
      <c r="E180" s="7">
        <v>202511012</v>
      </c>
      <c r="F180" s="7">
        <v>78.5</v>
      </c>
      <c r="H180" s="8">
        <v>24</v>
      </c>
      <c r="I180" s="7">
        <v>8.15</v>
      </c>
      <c r="J180" s="7">
        <f>VLOOKUP(D180, [1]設備資料!$A:$E, 5, 0)</f>
        <v>3</v>
      </c>
      <c r="K180" s="7">
        <f>IF(I180="", 0, IF(OR(I180=0, AND(J180=2, I180&gt;6.6), AND(J180=3, I180&gt;8.6), AND(J180=5, I180&gt;14.1)), 1, 0))</f>
        <v>0</v>
      </c>
      <c r="L180" s="8">
        <v>43.7</v>
      </c>
      <c r="N180" s="7"/>
      <c r="O180" s="9"/>
    </row>
    <row r="181" spans="1:15">
      <c r="A181" s="5">
        <v>46063</v>
      </c>
      <c r="B181" s="6">
        <v>0.70833333333333337</v>
      </c>
      <c r="C181" s="6" t="s">
        <v>19</v>
      </c>
      <c r="D181" s="7" t="s">
        <v>25</v>
      </c>
      <c r="E181" s="7">
        <v>202511001</v>
      </c>
      <c r="F181" s="7">
        <v>100.6</v>
      </c>
      <c r="G181" s="7">
        <v>101.7</v>
      </c>
      <c r="H181" s="8">
        <v>24</v>
      </c>
      <c r="I181" s="7">
        <v>13.52</v>
      </c>
      <c r="J181" s="7">
        <f>VLOOKUP(D181, [1]設備資料!$A:$E, 5, 0)</f>
        <v>5</v>
      </c>
      <c r="K181" s="7">
        <f>IF(I181="", 0, IF(OR(I181=0, AND(J181=2, I181&gt;6.6), AND(J181=3, I181&gt;8.6), AND(J181=5, I181&gt;14.1)), 1, 0))</f>
        <v>0</v>
      </c>
      <c r="L181" s="8">
        <v>43.7</v>
      </c>
      <c r="N181" s="7"/>
      <c r="O181" s="9"/>
    </row>
    <row r="182" spans="1:15">
      <c r="A182" s="5">
        <v>46063</v>
      </c>
      <c r="B182" s="6">
        <v>0.70833333333333337</v>
      </c>
      <c r="C182" s="6" t="s">
        <v>19</v>
      </c>
      <c r="D182" s="7" t="s">
        <v>26</v>
      </c>
      <c r="E182" s="7">
        <v>202511002</v>
      </c>
      <c r="F182" s="7">
        <v>97.8</v>
      </c>
      <c r="G182" s="7">
        <v>96.7</v>
      </c>
      <c r="H182" s="8">
        <v>24</v>
      </c>
      <c r="I182" s="7">
        <v>13.79</v>
      </c>
      <c r="J182" s="7">
        <f>VLOOKUP(D182, [1]設備資料!$A:$E, 5, 0)</f>
        <v>5</v>
      </c>
      <c r="K182" s="7">
        <f>IF(I182="", 0, IF(OR(I182=0, AND(J182=2, I182&gt;6.6), AND(J182=3, I182&gt;8.6), AND(J182=5, I182&gt;14.1)), 1, 0))</f>
        <v>0</v>
      </c>
      <c r="L182" s="8">
        <v>43.7</v>
      </c>
      <c r="N182" s="7"/>
      <c r="O182" s="9"/>
    </row>
    <row r="183" spans="1:15">
      <c r="A183" s="5">
        <v>46064</v>
      </c>
      <c r="B183" s="6">
        <v>0.33333333333333331</v>
      </c>
      <c r="C183" s="6" t="s">
        <v>19</v>
      </c>
      <c r="D183" s="7" t="s">
        <v>16</v>
      </c>
      <c r="E183" s="7">
        <v>202510001</v>
      </c>
      <c r="F183" s="7">
        <v>75.400000000000006</v>
      </c>
      <c r="G183" s="7">
        <v>74.900000000000006</v>
      </c>
      <c r="H183" s="8">
        <v>22</v>
      </c>
      <c r="I183" s="7">
        <v>6.52</v>
      </c>
      <c r="J183" s="7">
        <f>VLOOKUP(D183, [1]設備資料!$A:$E, 5, 0)</f>
        <v>2</v>
      </c>
      <c r="K183" s="7">
        <f>IF(I183="", 0, IF(OR(I183=0, AND(J183=2, I183&gt;6.6), AND(J183=3, I183&gt;8.6), AND(J183=5, I183&gt;14.1)), 1, 0))</f>
        <v>0</v>
      </c>
      <c r="L183" s="8">
        <v>44.8</v>
      </c>
      <c r="N183" s="7"/>
      <c r="O183" s="9"/>
    </row>
    <row r="184" spans="1:15">
      <c r="A184" s="5">
        <v>46064</v>
      </c>
      <c r="B184" s="6">
        <v>0.33333333333333331</v>
      </c>
      <c r="C184" s="6" t="s">
        <v>19</v>
      </c>
      <c r="D184" s="7" t="s">
        <v>20</v>
      </c>
      <c r="E184" s="7">
        <v>202510006</v>
      </c>
      <c r="F184" s="7">
        <v>71.2</v>
      </c>
      <c r="H184" s="8">
        <v>22</v>
      </c>
      <c r="I184" s="7">
        <v>6.19</v>
      </c>
      <c r="J184" s="7">
        <f>VLOOKUP(D184, [1]設備資料!$A:$E, 5, 0)</f>
        <v>2</v>
      </c>
      <c r="K184" s="7">
        <f>IF(I184="", 0, IF(OR(I184=0, AND(J184=2, I184&gt;6.6), AND(J184=3, I184&gt;8.6), AND(J184=5, I184&gt;14.1)), 1, 0))</f>
        <v>0</v>
      </c>
      <c r="L184" s="8">
        <v>44.8</v>
      </c>
      <c r="N184" s="7"/>
      <c r="O184" s="9"/>
    </row>
    <row r="185" spans="1:15">
      <c r="A185" s="5">
        <v>46064</v>
      </c>
      <c r="B185" s="6">
        <v>0.33333333333333331</v>
      </c>
      <c r="C185" s="6" t="s">
        <v>19</v>
      </c>
      <c r="D185" s="7" t="s">
        <v>23</v>
      </c>
      <c r="E185" s="7">
        <v>202511011</v>
      </c>
      <c r="F185" s="7">
        <v>82.1</v>
      </c>
      <c r="G185" s="7">
        <v>83</v>
      </c>
      <c r="H185" s="8">
        <v>22</v>
      </c>
      <c r="I185" s="7">
        <v>8.06</v>
      </c>
      <c r="J185" s="7">
        <f>VLOOKUP(D185, [1]設備資料!$A:$E, 5, 0)</f>
        <v>3</v>
      </c>
      <c r="K185" s="7">
        <f>IF(I185="", 0, IF(OR(I185=0, AND(J185=2, I185&gt;6.6), AND(J185=3, I185&gt;8.6), AND(J185=5, I185&gt;14.1)), 1, 0))</f>
        <v>0</v>
      </c>
      <c r="L185" s="8">
        <v>44.8</v>
      </c>
      <c r="N185" s="7"/>
      <c r="O185" s="9"/>
    </row>
    <row r="186" spans="1:15">
      <c r="A186" s="5">
        <v>46064</v>
      </c>
      <c r="B186" s="6">
        <v>0.33333333333333331</v>
      </c>
      <c r="C186" s="6" t="s">
        <v>19</v>
      </c>
      <c r="D186" s="7" t="s">
        <v>24</v>
      </c>
      <c r="E186" s="7">
        <v>202511012</v>
      </c>
      <c r="F186" s="7">
        <v>80.900000000000006</v>
      </c>
      <c r="H186" s="8">
        <v>22</v>
      </c>
      <c r="I186" s="7">
        <v>8.11</v>
      </c>
      <c r="J186" s="7">
        <f>VLOOKUP(D186, [1]設備資料!$A:$E, 5, 0)</f>
        <v>3</v>
      </c>
      <c r="K186" s="7">
        <f>IF(I186="", 0, IF(OR(I186=0, AND(J186=2, I186&gt;6.6), AND(J186=3, I186&gt;8.6), AND(J186=5, I186&gt;14.1)), 1, 0))</f>
        <v>0</v>
      </c>
      <c r="L186" s="8">
        <v>44.8</v>
      </c>
      <c r="N186" s="7"/>
      <c r="O186" s="9"/>
    </row>
    <row r="187" spans="1:15">
      <c r="A187" s="5">
        <v>46064</v>
      </c>
      <c r="B187" s="6">
        <v>0.33333333333333331</v>
      </c>
      <c r="C187" s="6" t="s">
        <v>19</v>
      </c>
      <c r="D187" s="7" t="s">
        <v>25</v>
      </c>
      <c r="E187" s="7">
        <v>202511001</v>
      </c>
      <c r="F187" s="7">
        <v>103.3</v>
      </c>
      <c r="G187" s="7">
        <v>104</v>
      </c>
      <c r="H187" s="8">
        <v>22</v>
      </c>
      <c r="I187" s="7">
        <v>13.83</v>
      </c>
      <c r="J187" s="7">
        <f>VLOOKUP(D187, [1]設備資料!$A:$E, 5, 0)</f>
        <v>5</v>
      </c>
      <c r="K187" s="7">
        <f>IF(I187="", 0, IF(OR(I187=0, AND(J187=2, I187&gt;6.6), AND(J187=3, I187&gt;8.6), AND(J187=5, I187&gt;14.1)), 1, 0))</f>
        <v>0</v>
      </c>
      <c r="L187" s="8">
        <v>44.8</v>
      </c>
      <c r="N187" s="7"/>
      <c r="O187" s="9"/>
    </row>
    <row r="188" spans="1:15">
      <c r="A188" s="5">
        <v>46064</v>
      </c>
      <c r="B188" s="6">
        <v>0.33333333333333331</v>
      </c>
      <c r="C188" s="6" t="s">
        <v>19</v>
      </c>
      <c r="D188" s="7" t="s">
        <v>26</v>
      </c>
      <c r="E188" s="7">
        <v>202511002</v>
      </c>
      <c r="F188" s="7">
        <v>100.1</v>
      </c>
      <c r="G188" s="7">
        <v>98.7</v>
      </c>
      <c r="H188" s="8">
        <v>22</v>
      </c>
      <c r="I188" s="7">
        <v>13.85</v>
      </c>
      <c r="J188" s="7">
        <f>VLOOKUP(D188, [1]設備資料!$A:$E, 5, 0)</f>
        <v>5</v>
      </c>
      <c r="K188" s="7">
        <f>IF(I188="", 0, IF(OR(I188=0, AND(J188=2, I188&gt;6.6), AND(J188=3, I188&gt;8.6), AND(J188=5, I188&gt;14.1)), 1, 0))</f>
        <v>0</v>
      </c>
      <c r="L188" s="8">
        <v>44.8</v>
      </c>
      <c r="N188" s="7"/>
      <c r="O188" s="9"/>
    </row>
    <row r="189" spans="1:15">
      <c r="A189" s="5">
        <v>46064</v>
      </c>
      <c r="B189" s="6">
        <v>0.3611111111111111</v>
      </c>
      <c r="C189" s="6" t="s">
        <v>32</v>
      </c>
      <c r="D189" s="7" t="s">
        <v>31</v>
      </c>
      <c r="E189" s="7">
        <v>202510024</v>
      </c>
      <c r="F189" s="7">
        <v>74.599999999999994</v>
      </c>
      <c r="G189" s="7">
        <v>74.599999999999994</v>
      </c>
      <c r="H189" s="8">
        <v>22</v>
      </c>
      <c r="I189" s="7">
        <v>6.18</v>
      </c>
      <c r="J189" s="7">
        <f>VLOOKUP(D189, [1]設備資料!$A:$E, 5, 0)</f>
        <v>2</v>
      </c>
      <c r="K189" s="7">
        <f>IF(I189="", 0, IF(OR(I189=0, AND(J189=2, I189&gt;6.6), AND(J189=3, I189&gt;8.6), AND(J189=5, I189&gt;14.1)), 1, 0))</f>
        <v>0</v>
      </c>
      <c r="M189" s="8">
        <v>43.7</v>
      </c>
      <c r="N189" s="7"/>
      <c r="O189" s="9"/>
    </row>
    <row r="190" spans="1:15">
      <c r="A190" s="5">
        <v>46064</v>
      </c>
      <c r="B190" s="6">
        <v>0.3611111111111111</v>
      </c>
      <c r="C190" s="6" t="s">
        <v>32</v>
      </c>
      <c r="D190" s="7" t="s">
        <v>33</v>
      </c>
      <c r="E190" s="7">
        <v>202510026</v>
      </c>
      <c r="F190" s="7">
        <v>79.099999999999994</v>
      </c>
      <c r="H190" s="8">
        <v>22</v>
      </c>
      <c r="I190" s="7">
        <v>6.22</v>
      </c>
      <c r="J190" s="7">
        <f>VLOOKUP(D190, [1]設備資料!$A:$E, 5, 0)</f>
        <v>2</v>
      </c>
      <c r="K190" s="7">
        <f>IF(I190="", 0, IF(OR(I190=0, AND(J190=2, I190&gt;6.6), AND(J190=3, I190&gt;8.6), AND(J190=5, I190&gt;14.1)), 1, 0))</f>
        <v>0</v>
      </c>
      <c r="M190" s="8">
        <v>43.7</v>
      </c>
      <c r="N190" s="7"/>
      <c r="O190" s="9"/>
    </row>
    <row r="191" spans="1:15">
      <c r="A191" s="5">
        <v>46064</v>
      </c>
      <c r="B191" s="6">
        <v>0.3611111111111111</v>
      </c>
      <c r="C191" s="6" t="s">
        <v>32</v>
      </c>
      <c r="D191" s="7" t="s">
        <v>34</v>
      </c>
      <c r="E191" s="7">
        <v>202511017</v>
      </c>
      <c r="F191" s="7">
        <v>81.8</v>
      </c>
      <c r="G191" s="7">
        <v>82.3</v>
      </c>
      <c r="H191" s="8">
        <v>22</v>
      </c>
      <c r="I191" s="7">
        <v>7.99</v>
      </c>
      <c r="J191" s="7">
        <f>VLOOKUP(D191, [1]設備資料!$A:$E, 5, 0)</f>
        <v>3</v>
      </c>
      <c r="K191" s="7">
        <f>IF(I191="", 0, IF(OR(I191=0, AND(J191=2, I191&gt;6.6), AND(J191=3, I191&gt;8.6), AND(J191=5, I191&gt;14.1)), 1, 0))</f>
        <v>0</v>
      </c>
      <c r="M191" s="8">
        <v>43.7</v>
      </c>
      <c r="N191" s="7"/>
      <c r="O191" s="9"/>
    </row>
    <row r="192" spans="1:15">
      <c r="A192" s="5">
        <v>46064</v>
      </c>
      <c r="B192" s="6">
        <v>0.3611111111111111</v>
      </c>
      <c r="C192" s="6" t="s">
        <v>32</v>
      </c>
      <c r="D192" s="7" t="s">
        <v>35</v>
      </c>
      <c r="E192" s="7">
        <v>202511005</v>
      </c>
      <c r="F192" s="7">
        <v>102.7</v>
      </c>
      <c r="G192" s="7">
        <v>97.6</v>
      </c>
      <c r="H192" s="8">
        <v>22</v>
      </c>
      <c r="I192" s="7">
        <v>13.71</v>
      </c>
      <c r="J192" s="7">
        <f>VLOOKUP(D192, [1]設備資料!$A:$E, 5, 0)</f>
        <v>5</v>
      </c>
      <c r="K192" s="7">
        <f>IF(I192="", 0, IF(OR(I192=0, AND(J192=2, I192&gt;6.6), AND(J192=3, I192&gt;8.6), AND(J192=5, I192&gt;14.1)), 1, 0))</f>
        <v>0</v>
      </c>
      <c r="M192" s="8">
        <v>43.7</v>
      </c>
      <c r="N192" s="7"/>
      <c r="O192" s="9"/>
    </row>
    <row r="193" spans="1:15">
      <c r="A193" s="5">
        <v>46064</v>
      </c>
      <c r="B193" s="6">
        <v>0.3611111111111111</v>
      </c>
      <c r="C193" s="6" t="s">
        <v>32</v>
      </c>
      <c r="D193" s="7" t="s">
        <v>36</v>
      </c>
      <c r="E193" s="7" t="s">
        <v>37</v>
      </c>
      <c r="F193" s="7">
        <v>103.4</v>
      </c>
      <c r="G193" s="7">
        <v>97.8</v>
      </c>
      <c r="H193" s="8">
        <v>22</v>
      </c>
      <c r="I193" s="7">
        <v>13.76</v>
      </c>
      <c r="J193" s="7">
        <f>VLOOKUP(D193, [1]設備資料!$A:$E, 5, 0)</f>
        <v>5</v>
      </c>
      <c r="K193" s="7">
        <f>IF(I193="", 0, IF(OR(I193=0, AND(J193=2, I193&gt;6.6), AND(J193=3, I193&gt;8.6), AND(J193=5, I193&gt;14.1)), 1, 0))</f>
        <v>0</v>
      </c>
      <c r="M193" s="8">
        <v>43.7</v>
      </c>
      <c r="N193" s="7"/>
      <c r="O193" s="9"/>
    </row>
    <row r="194" spans="1:15">
      <c r="A194" s="5">
        <v>46064</v>
      </c>
      <c r="B194" s="6">
        <v>0.54166666666666663</v>
      </c>
      <c r="C194" s="6" t="s">
        <v>19</v>
      </c>
      <c r="D194" s="7" t="s">
        <v>16</v>
      </c>
      <c r="E194" s="7">
        <v>202510001</v>
      </c>
      <c r="F194" s="7">
        <v>74.2</v>
      </c>
      <c r="G194" s="7">
        <v>73.599999999999994</v>
      </c>
      <c r="H194" s="8">
        <v>27</v>
      </c>
      <c r="J194" s="7">
        <f>VLOOKUP(D194, [1]設備資料!$A:$E, 5, 0)</f>
        <v>2</v>
      </c>
      <c r="K194" s="7">
        <f>IF(I194="", 0, IF(OR(I194=0, AND(J194=2, I194&gt;6.6), AND(J194=3, I194&gt;8.6), AND(J194=5, I194&gt;14.1)), 1, 0))</f>
        <v>0</v>
      </c>
      <c r="L194" s="8">
        <v>44.1</v>
      </c>
      <c r="N194" s="7"/>
      <c r="O194" s="9"/>
    </row>
    <row r="195" spans="1:15">
      <c r="A195" s="5">
        <v>46064</v>
      </c>
      <c r="B195" s="6">
        <v>0.54166666666666663</v>
      </c>
      <c r="C195" s="6" t="s">
        <v>19</v>
      </c>
      <c r="D195" s="7" t="s">
        <v>20</v>
      </c>
      <c r="E195" s="7">
        <v>202510006</v>
      </c>
      <c r="F195" s="7">
        <v>70</v>
      </c>
      <c r="H195" s="8">
        <v>27</v>
      </c>
      <c r="J195" s="7">
        <f>VLOOKUP(D195, [1]設備資料!$A:$E, 5, 0)</f>
        <v>2</v>
      </c>
      <c r="K195" s="7">
        <f>IF(I195="", 0, IF(OR(I195=0, AND(J195=2, I195&gt;6.6), AND(J195=3, I195&gt;8.6), AND(J195=5, I195&gt;14.1)), 1, 0))</f>
        <v>0</v>
      </c>
      <c r="L195" s="8">
        <v>44.1</v>
      </c>
      <c r="N195" s="7"/>
      <c r="O195" s="9"/>
    </row>
    <row r="196" spans="1:15">
      <c r="A196" s="5">
        <v>46064</v>
      </c>
      <c r="B196" s="6">
        <v>0.54166666666666663</v>
      </c>
      <c r="C196" s="6" t="s">
        <v>19</v>
      </c>
      <c r="D196" s="7" t="s">
        <v>23</v>
      </c>
      <c r="E196" s="7">
        <v>202511011</v>
      </c>
      <c r="F196" s="7">
        <v>80</v>
      </c>
      <c r="G196" s="7">
        <v>81.2</v>
      </c>
      <c r="H196" s="8">
        <v>27</v>
      </c>
      <c r="J196" s="7">
        <f>VLOOKUP(D196, [1]設備資料!$A:$E, 5, 0)</f>
        <v>3</v>
      </c>
      <c r="K196" s="7">
        <f>IF(I196="", 0, IF(OR(I196=0, AND(J196=2, I196&gt;6.6), AND(J196=3, I196&gt;8.6), AND(J196=5, I196&gt;14.1)), 1, 0))</f>
        <v>0</v>
      </c>
      <c r="L196" s="8">
        <v>44.1</v>
      </c>
      <c r="N196" s="7"/>
      <c r="O196" s="9"/>
    </row>
    <row r="197" spans="1:15">
      <c r="A197" s="5">
        <v>46064</v>
      </c>
      <c r="B197" s="6">
        <v>0.54166666666666663</v>
      </c>
      <c r="C197" s="6" t="s">
        <v>19</v>
      </c>
      <c r="D197" s="7" t="s">
        <v>24</v>
      </c>
      <c r="E197" s="7">
        <v>202511012</v>
      </c>
      <c r="F197" s="7">
        <v>79.400000000000006</v>
      </c>
      <c r="H197" s="8">
        <v>27</v>
      </c>
      <c r="J197" s="7">
        <f>VLOOKUP(D197, [1]設備資料!$A:$E, 5, 0)</f>
        <v>3</v>
      </c>
      <c r="K197" s="7">
        <f>IF(I197="", 0, IF(OR(I197=0, AND(J197=2, I197&gt;6.6), AND(J197=3, I197&gt;8.6), AND(J197=5, I197&gt;14.1)), 1, 0))</f>
        <v>0</v>
      </c>
      <c r="L197" s="8">
        <v>44.1</v>
      </c>
      <c r="N197" s="7"/>
      <c r="O197" s="9"/>
    </row>
    <row r="198" spans="1:15">
      <c r="A198" s="5">
        <v>46064</v>
      </c>
      <c r="B198" s="6">
        <v>0.54166666666666663</v>
      </c>
      <c r="C198" s="6" t="s">
        <v>19</v>
      </c>
      <c r="D198" s="7" t="s">
        <v>25</v>
      </c>
      <c r="E198" s="7">
        <v>202511001</v>
      </c>
      <c r="F198" s="7">
        <v>101.2</v>
      </c>
      <c r="G198" s="7">
        <v>102.4</v>
      </c>
      <c r="H198" s="8">
        <v>27</v>
      </c>
      <c r="J198" s="7">
        <f>VLOOKUP(D198, [1]設備資料!$A:$E, 5, 0)</f>
        <v>5</v>
      </c>
      <c r="K198" s="7">
        <f>IF(I198="", 0, IF(OR(I198=0, AND(J198=2, I198&gt;6.6), AND(J198=3, I198&gt;8.6), AND(J198=5, I198&gt;14.1)), 1, 0))</f>
        <v>0</v>
      </c>
      <c r="L198" s="8">
        <v>44.1</v>
      </c>
      <c r="N198" s="7"/>
      <c r="O198" s="9"/>
    </row>
    <row r="199" spans="1:15">
      <c r="A199" s="5">
        <v>46064</v>
      </c>
      <c r="B199" s="6">
        <v>0.54166666666666663</v>
      </c>
      <c r="C199" s="6" t="s">
        <v>19</v>
      </c>
      <c r="D199" s="7" t="s">
        <v>26</v>
      </c>
      <c r="E199" s="7">
        <v>202511002</v>
      </c>
      <c r="F199" s="7">
        <v>98.6</v>
      </c>
      <c r="G199" s="7">
        <v>97.4</v>
      </c>
      <c r="H199" s="8">
        <v>27</v>
      </c>
      <c r="J199" s="7">
        <f>VLOOKUP(D199, [1]設備資料!$A:$E, 5, 0)</f>
        <v>5</v>
      </c>
      <c r="K199" s="7">
        <f>IF(I199="", 0, IF(OR(I199=0, AND(J199=2, I199&gt;6.6), AND(J199=3, I199&gt;8.6), AND(J199=5, I199&gt;14.1)), 1, 0))</f>
        <v>0</v>
      </c>
      <c r="L199" s="8">
        <v>44.1</v>
      </c>
      <c r="N199" s="7"/>
      <c r="O199" s="9"/>
    </row>
    <row r="200" spans="1:15">
      <c r="A200" s="5">
        <v>46064</v>
      </c>
      <c r="B200" s="6">
        <v>0.56944444444444442</v>
      </c>
      <c r="C200" s="6" t="s">
        <v>32</v>
      </c>
      <c r="D200" s="7" t="s">
        <v>31</v>
      </c>
      <c r="E200" s="7">
        <v>202510024</v>
      </c>
      <c r="F200" s="7">
        <v>73.900000000000006</v>
      </c>
      <c r="G200" s="7">
        <v>73.900000000000006</v>
      </c>
      <c r="H200" s="8">
        <v>27</v>
      </c>
      <c r="J200" s="7">
        <f>VLOOKUP(D200, [1]設備資料!$A:$E, 5, 0)</f>
        <v>2</v>
      </c>
      <c r="K200" s="7">
        <f>IF(I200="", 0, IF(OR(I200=0, AND(J200=2, I200&gt;6.6), AND(J200=3, I200&gt;8.6), AND(J200=5, I200&gt;14.1)), 1, 0))</f>
        <v>0</v>
      </c>
      <c r="M200" s="8">
        <v>43.2</v>
      </c>
      <c r="N200" s="7"/>
      <c r="O200" s="9"/>
    </row>
    <row r="201" spans="1:15">
      <c r="A201" s="5">
        <v>46064</v>
      </c>
      <c r="B201" s="6">
        <v>0.56944444444444442</v>
      </c>
      <c r="C201" s="6" t="s">
        <v>32</v>
      </c>
      <c r="D201" s="7" t="s">
        <v>33</v>
      </c>
      <c r="E201" s="7">
        <v>202510026</v>
      </c>
      <c r="F201" s="12">
        <v>78.099999999999994</v>
      </c>
      <c r="H201" s="8">
        <v>27</v>
      </c>
      <c r="J201" s="7">
        <f>VLOOKUP(D201, [1]設備資料!$A:$E, 5, 0)</f>
        <v>2</v>
      </c>
      <c r="K201" s="7">
        <f>IF(I201="", 0, IF(OR(I201=0, AND(J201=2, I201&gt;6.6), AND(J201=3, I201&gt;8.6), AND(J201=5, I201&gt;14.1)), 1, 0))</f>
        <v>0</v>
      </c>
      <c r="M201" s="8">
        <v>43.2</v>
      </c>
      <c r="N201" s="7"/>
      <c r="O201" s="9"/>
    </row>
    <row r="202" spans="1:15">
      <c r="A202" s="5">
        <v>46064</v>
      </c>
      <c r="B202" s="6">
        <v>0.56944444444444442</v>
      </c>
      <c r="C202" s="6" t="s">
        <v>32</v>
      </c>
      <c r="D202" s="7" t="s">
        <v>34</v>
      </c>
      <c r="E202" s="7">
        <v>202511017</v>
      </c>
      <c r="F202" s="7">
        <v>80.599999999999994</v>
      </c>
      <c r="G202" s="7">
        <v>80.900000000000006</v>
      </c>
      <c r="H202" s="8">
        <v>27</v>
      </c>
      <c r="J202" s="7">
        <f>VLOOKUP(D202, [1]設備資料!$A:$E, 5, 0)</f>
        <v>3</v>
      </c>
      <c r="K202" s="7">
        <f>IF(I202="", 0, IF(OR(I202=0, AND(J202=2, I202&gt;6.6), AND(J202=3, I202&gt;8.6), AND(J202=5, I202&gt;14.1)), 1, 0))</f>
        <v>0</v>
      </c>
      <c r="M202" s="8">
        <v>43.2</v>
      </c>
      <c r="N202" s="7"/>
      <c r="O202" s="9"/>
    </row>
    <row r="203" spans="1:15">
      <c r="A203" s="5">
        <v>46064</v>
      </c>
      <c r="B203" s="6">
        <v>0.56944444444444442</v>
      </c>
      <c r="C203" s="6" t="s">
        <v>32</v>
      </c>
      <c r="D203" s="7" t="s">
        <v>35</v>
      </c>
      <c r="E203" s="7">
        <v>202511005</v>
      </c>
      <c r="F203" s="7">
        <v>100.9</v>
      </c>
      <c r="G203" s="7">
        <v>96</v>
      </c>
      <c r="H203" s="8">
        <v>27</v>
      </c>
      <c r="J203" s="7">
        <f>VLOOKUP(D203, [1]設備資料!$A:$E, 5, 0)</f>
        <v>5</v>
      </c>
      <c r="K203" s="7">
        <f>IF(I203="", 0, IF(OR(I203=0, AND(J203=2, I203&gt;6.6), AND(J203=3, I203&gt;8.6), AND(J203=5, I203&gt;14.1)), 1, 0))</f>
        <v>0</v>
      </c>
      <c r="M203" s="8">
        <v>43.2</v>
      </c>
      <c r="N203" s="7"/>
      <c r="O203" s="9"/>
    </row>
    <row r="204" spans="1:15">
      <c r="A204" s="5">
        <v>46064</v>
      </c>
      <c r="B204" s="6">
        <v>0.56944444444444442</v>
      </c>
      <c r="C204" s="6" t="s">
        <v>32</v>
      </c>
      <c r="D204" s="7" t="s">
        <v>36</v>
      </c>
      <c r="E204" s="7" t="s">
        <v>37</v>
      </c>
      <c r="F204" s="7">
        <v>101.8</v>
      </c>
      <c r="G204" s="7">
        <v>95.9</v>
      </c>
      <c r="H204" s="8">
        <v>27</v>
      </c>
      <c r="J204" s="7">
        <f>VLOOKUP(D204, [1]設備資料!$A:$E, 5, 0)</f>
        <v>5</v>
      </c>
      <c r="K204" s="7">
        <f>IF(I204="", 0, IF(OR(I204=0, AND(J204=2, I204&gt;6.6), AND(J204=3, I204&gt;8.6), AND(J204=5, I204&gt;14.1)), 1, 0))</f>
        <v>0</v>
      </c>
      <c r="M204" s="8">
        <v>43.2</v>
      </c>
      <c r="N204" s="7"/>
      <c r="O204" s="9"/>
    </row>
    <row r="205" spans="1:15">
      <c r="A205" s="5">
        <v>46064</v>
      </c>
      <c r="B205" s="6">
        <v>0.69444444444444442</v>
      </c>
      <c r="C205" s="6" t="s">
        <v>32</v>
      </c>
      <c r="D205" s="7" t="s">
        <v>31</v>
      </c>
      <c r="E205" s="7">
        <v>202510024</v>
      </c>
      <c r="F205" s="7">
        <v>74</v>
      </c>
      <c r="G205" s="7">
        <v>73.900000000000006</v>
      </c>
      <c r="H205" s="8">
        <v>27</v>
      </c>
      <c r="I205" s="7">
        <v>6.29</v>
      </c>
      <c r="J205" s="7">
        <f>VLOOKUP(D205, [1]設備資料!$A:$E, 5, 0)</f>
        <v>2</v>
      </c>
      <c r="K205" s="7">
        <f>IF(I205="", 0, IF(OR(I205=0, AND(J205=2, I205&gt;6.6), AND(J205=3, I205&gt;8.6), AND(J205=5, I205&gt;14.1)), 1, 0))</f>
        <v>0</v>
      </c>
      <c r="M205" s="8">
        <v>43.2</v>
      </c>
      <c r="N205" s="7"/>
      <c r="O205" s="9"/>
    </row>
    <row r="206" spans="1:15">
      <c r="A206" s="5">
        <v>46064</v>
      </c>
      <c r="B206" s="6">
        <v>0.69444444444444442</v>
      </c>
      <c r="C206" s="6" t="s">
        <v>32</v>
      </c>
      <c r="D206" s="7" t="s">
        <v>33</v>
      </c>
      <c r="E206" s="7">
        <v>202510026</v>
      </c>
      <c r="F206" s="7">
        <v>78.2</v>
      </c>
      <c r="H206" s="8">
        <v>27</v>
      </c>
      <c r="I206" s="7">
        <v>6.13</v>
      </c>
      <c r="J206" s="7">
        <f>VLOOKUP(D206, [1]設備資料!$A:$E, 5, 0)</f>
        <v>2</v>
      </c>
      <c r="K206" s="7">
        <f>IF(I206="", 0, IF(OR(I206=0, AND(J206=2, I206&gt;6.6), AND(J206=3, I206&gt;8.6), AND(J206=5, I206&gt;14.1)), 1, 0))</f>
        <v>0</v>
      </c>
      <c r="M206" s="8">
        <v>43.2</v>
      </c>
      <c r="N206" s="7"/>
      <c r="O206" s="9"/>
    </row>
    <row r="207" spans="1:15">
      <c r="A207" s="5">
        <v>46064</v>
      </c>
      <c r="B207" s="6">
        <v>0.69444444444444442</v>
      </c>
      <c r="C207" s="6" t="s">
        <v>32</v>
      </c>
      <c r="D207" s="7" t="s">
        <v>34</v>
      </c>
      <c r="E207" s="7">
        <v>202511017</v>
      </c>
      <c r="F207" s="7">
        <v>80.8</v>
      </c>
      <c r="G207" s="7">
        <v>81.099999999999994</v>
      </c>
      <c r="H207" s="8">
        <v>27</v>
      </c>
      <c r="I207" s="7">
        <v>7.91</v>
      </c>
      <c r="J207" s="7">
        <f>VLOOKUP(D207, [1]設備資料!$A:$E, 5, 0)</f>
        <v>3</v>
      </c>
      <c r="K207" s="7">
        <f>IF(I207="", 0, IF(OR(I207=0, AND(J207=2, I207&gt;6.6), AND(J207=3, I207&gt;8.6), AND(J207=5, I207&gt;14.1)), 1, 0))</f>
        <v>0</v>
      </c>
      <c r="M207" s="8">
        <v>43.2</v>
      </c>
      <c r="N207" s="7"/>
      <c r="O207" s="9"/>
    </row>
    <row r="208" spans="1:15">
      <c r="A208" s="5">
        <v>46064</v>
      </c>
      <c r="B208" s="6">
        <v>0.69444444444444442</v>
      </c>
      <c r="C208" s="6" t="s">
        <v>32</v>
      </c>
      <c r="D208" s="7" t="s">
        <v>35</v>
      </c>
      <c r="E208" s="7">
        <v>202511005</v>
      </c>
      <c r="F208" s="7">
        <v>101.2</v>
      </c>
      <c r="G208" s="7">
        <v>96.4</v>
      </c>
      <c r="H208" s="8">
        <v>27</v>
      </c>
      <c r="I208" s="7">
        <v>13.36</v>
      </c>
      <c r="J208" s="7">
        <f>VLOOKUP(D208, [1]設備資料!$A:$E, 5, 0)</f>
        <v>5</v>
      </c>
      <c r="K208" s="7">
        <f>IF(I208="", 0, IF(OR(I208=0, AND(J208=2, I208&gt;6.6), AND(J208=3, I208&gt;8.6), AND(J208=5, I208&gt;14.1)), 1, 0))</f>
        <v>0</v>
      </c>
      <c r="M208" s="8">
        <v>43.2</v>
      </c>
      <c r="N208" s="7"/>
      <c r="O208" s="9"/>
    </row>
    <row r="209" spans="1:15">
      <c r="A209" s="5">
        <v>46064</v>
      </c>
      <c r="B209" s="6">
        <v>0.69444444444444442</v>
      </c>
      <c r="C209" s="6" t="s">
        <v>32</v>
      </c>
      <c r="D209" s="7" t="s">
        <v>36</v>
      </c>
      <c r="E209" s="7" t="s">
        <v>37</v>
      </c>
      <c r="F209" s="7">
        <v>102.2</v>
      </c>
      <c r="G209" s="7">
        <v>96.4</v>
      </c>
      <c r="H209" s="8">
        <v>27</v>
      </c>
      <c r="I209" s="7">
        <v>14.07</v>
      </c>
      <c r="J209" s="7">
        <f>VLOOKUP(D209, [1]設備資料!$A:$E, 5, 0)</f>
        <v>5</v>
      </c>
      <c r="K209" s="7">
        <f>IF(I209="", 0, IF(OR(I209=0, AND(J209=2, I209&gt;6.6), AND(J209=3, I209&gt;8.6), AND(J209=5, I209&gt;14.1)), 1, 0))</f>
        <v>0</v>
      </c>
      <c r="M209" s="8">
        <v>43.2</v>
      </c>
      <c r="N209" s="7"/>
      <c r="O209" s="9"/>
    </row>
    <row r="210" spans="1:15">
      <c r="A210" s="5">
        <v>46064</v>
      </c>
      <c r="B210" s="6">
        <v>0.70833333333333337</v>
      </c>
      <c r="C210" s="6" t="s">
        <v>19</v>
      </c>
      <c r="D210" s="7" t="s">
        <v>16</v>
      </c>
      <c r="E210" s="7">
        <v>202510001</v>
      </c>
      <c r="F210" s="7">
        <v>74.3</v>
      </c>
      <c r="G210" s="7">
        <v>73.8</v>
      </c>
      <c r="H210" s="8">
        <v>27</v>
      </c>
      <c r="I210" s="7">
        <v>6.6</v>
      </c>
      <c r="J210" s="7">
        <f>VLOOKUP(D210, [1]設備資料!$A:$E, 5, 0)</f>
        <v>2</v>
      </c>
      <c r="K210" s="7">
        <f>IF(I210="", 0, IF(OR(I210=0, AND(J210=2, I210&gt;6.6), AND(J210=3, I210&gt;8.6), AND(J210=5, I210&gt;14.1)), 1, 0))</f>
        <v>0</v>
      </c>
      <c r="L210" s="8">
        <v>44.1</v>
      </c>
      <c r="N210" s="7"/>
      <c r="O210" s="9"/>
    </row>
    <row r="211" spans="1:15">
      <c r="A211" s="5">
        <v>46064</v>
      </c>
      <c r="B211" s="6">
        <v>0.70833333333333337</v>
      </c>
      <c r="C211" s="6" t="s">
        <v>19</v>
      </c>
      <c r="D211" s="7" t="s">
        <v>20</v>
      </c>
      <c r="E211" s="7">
        <v>202510006</v>
      </c>
      <c r="F211" s="7">
        <v>70.3</v>
      </c>
      <c r="H211" s="8">
        <v>27</v>
      </c>
      <c r="I211" s="7">
        <v>6.19</v>
      </c>
      <c r="J211" s="7">
        <f>VLOOKUP(D211, [1]設備資料!$A:$E, 5, 0)</f>
        <v>2</v>
      </c>
      <c r="K211" s="7">
        <f>IF(I211="", 0, IF(OR(I211=0, AND(J211=2, I211&gt;6.6), AND(J211=3, I211&gt;8.6), AND(J211=5, I211&gt;14.1)), 1, 0))</f>
        <v>0</v>
      </c>
      <c r="L211" s="8">
        <v>44.1</v>
      </c>
      <c r="N211" s="7"/>
      <c r="O211" s="9"/>
    </row>
    <row r="212" spans="1:15">
      <c r="A212" s="5">
        <v>46064</v>
      </c>
      <c r="B212" s="6">
        <v>0.70833333333333337</v>
      </c>
      <c r="C212" s="6" t="s">
        <v>19</v>
      </c>
      <c r="D212" s="7" t="s">
        <v>23</v>
      </c>
      <c r="E212" s="7">
        <v>202511011</v>
      </c>
      <c r="F212" s="7">
        <v>80.3</v>
      </c>
      <c r="G212" s="7">
        <v>81.5</v>
      </c>
      <c r="H212" s="8">
        <v>27</v>
      </c>
      <c r="I212" s="7">
        <v>8.18</v>
      </c>
      <c r="J212" s="7">
        <f>VLOOKUP(D212, [1]設備資料!$A:$E, 5, 0)</f>
        <v>3</v>
      </c>
      <c r="K212" s="7">
        <f>IF(I212="", 0, IF(OR(I212=0, AND(J212=2, I212&gt;6.6), AND(J212=3, I212&gt;8.6), AND(J212=5, I212&gt;14.1)), 1, 0))</f>
        <v>0</v>
      </c>
      <c r="L212" s="8">
        <v>44.1</v>
      </c>
      <c r="N212" s="7"/>
      <c r="O212" s="9"/>
    </row>
    <row r="213" spans="1:15">
      <c r="A213" s="5">
        <v>46064</v>
      </c>
      <c r="B213" s="6">
        <v>0.70833333333333337</v>
      </c>
      <c r="C213" s="6" t="s">
        <v>19</v>
      </c>
      <c r="D213" s="7" t="s">
        <v>24</v>
      </c>
      <c r="E213" s="7">
        <v>202511012</v>
      </c>
      <c r="F213" s="7">
        <v>79.7</v>
      </c>
      <c r="H213" s="8">
        <v>27</v>
      </c>
      <c r="I213" s="7">
        <v>7.77</v>
      </c>
      <c r="J213" s="7">
        <f>VLOOKUP(D213, [1]設備資料!$A:$E, 5, 0)</f>
        <v>3</v>
      </c>
      <c r="K213" s="7">
        <f>IF(I213="", 0, IF(OR(I213=0, AND(J213=2, I213&gt;6.6), AND(J213=3, I213&gt;8.6), AND(J213=5, I213&gt;14.1)), 1, 0))</f>
        <v>0</v>
      </c>
      <c r="L213" s="8">
        <v>44.1</v>
      </c>
      <c r="N213" s="7"/>
      <c r="O213" s="9"/>
    </row>
    <row r="214" spans="1:15">
      <c r="A214" s="5">
        <v>46064</v>
      </c>
      <c r="B214" s="6">
        <v>0.70833333333333337</v>
      </c>
      <c r="C214" s="6" t="s">
        <v>19</v>
      </c>
      <c r="D214" s="7" t="s">
        <v>25</v>
      </c>
      <c r="E214" s="7">
        <v>202511001</v>
      </c>
      <c r="F214" s="7">
        <v>101.4</v>
      </c>
      <c r="G214" s="7">
        <v>102.6</v>
      </c>
      <c r="H214" s="8">
        <v>27</v>
      </c>
      <c r="I214" s="7">
        <v>13.85</v>
      </c>
      <c r="J214" s="7">
        <f>VLOOKUP(D214, [1]設備資料!$A:$E, 5, 0)</f>
        <v>5</v>
      </c>
      <c r="K214" s="7">
        <f>IF(I214="", 0, IF(OR(I214=0, AND(J214=2, I214&gt;6.6), AND(J214=3, I214&gt;8.6), AND(J214=5, I214&gt;14.1)), 1, 0))</f>
        <v>0</v>
      </c>
      <c r="L214" s="8">
        <v>44.1</v>
      </c>
      <c r="N214" s="7"/>
      <c r="O214" s="9"/>
    </row>
    <row r="215" spans="1:15">
      <c r="A215" s="5">
        <v>46064</v>
      </c>
      <c r="B215" s="6">
        <v>0.70833333333333337</v>
      </c>
      <c r="C215" s="6" t="s">
        <v>19</v>
      </c>
      <c r="D215" s="7" t="s">
        <v>26</v>
      </c>
      <c r="E215" s="7">
        <v>202511002</v>
      </c>
      <c r="F215" s="7">
        <v>98.2</v>
      </c>
      <c r="G215" s="7">
        <v>97.1</v>
      </c>
      <c r="H215" s="8">
        <v>27</v>
      </c>
      <c r="I215" s="7">
        <v>13.72</v>
      </c>
      <c r="J215" s="7">
        <f>VLOOKUP(D215, [1]設備資料!$A:$E, 5, 0)</f>
        <v>5</v>
      </c>
      <c r="K215" s="7">
        <f>IF(I215="", 0, IF(OR(I215=0, AND(J215=2, I215&gt;6.6), AND(J215=3, I215&gt;8.6), AND(J215=5, I215&gt;14.1)), 1, 0))</f>
        <v>0</v>
      </c>
      <c r="L215" s="8">
        <v>44.1</v>
      </c>
      <c r="N215" s="7"/>
      <c r="O215" s="9"/>
    </row>
    <row r="216" spans="1:15">
      <c r="A216" s="5">
        <v>46065</v>
      </c>
      <c r="B216" s="6">
        <v>0.33333333333333331</v>
      </c>
      <c r="C216" s="6" t="s">
        <v>19</v>
      </c>
      <c r="D216" s="7" t="s">
        <v>16</v>
      </c>
      <c r="E216" s="7">
        <v>202510001</v>
      </c>
      <c r="F216" s="7">
        <v>75.3</v>
      </c>
      <c r="G216" s="7">
        <v>74.7</v>
      </c>
      <c r="H216" s="8">
        <v>16</v>
      </c>
      <c r="I216" s="7">
        <v>6.47</v>
      </c>
      <c r="J216" s="7">
        <f>VLOOKUP(D216, [1]設備資料!$A:$E, 5, 0)</f>
        <v>2</v>
      </c>
      <c r="K216" s="7">
        <f>IF(I216="", 0, IF(OR(I216=0, AND(J216=2, I216&gt;6.6), AND(J216=3, I216&gt;8.6), AND(J216=5, I216&gt;14.1)), 1, 0))</f>
        <v>0</v>
      </c>
      <c r="L216" s="8">
        <v>44.6</v>
      </c>
      <c r="N216" s="7"/>
      <c r="O216" s="9"/>
    </row>
    <row r="217" spans="1:15">
      <c r="A217" s="5">
        <v>46065</v>
      </c>
      <c r="B217" s="6">
        <v>0.33333333333333331</v>
      </c>
      <c r="C217" s="6" t="s">
        <v>19</v>
      </c>
      <c r="D217" s="7" t="s">
        <v>20</v>
      </c>
      <c r="E217" s="7">
        <v>202510006</v>
      </c>
      <c r="F217" s="7">
        <v>71.2</v>
      </c>
      <c r="H217" s="8">
        <v>16</v>
      </c>
      <c r="I217" s="7">
        <v>6.22</v>
      </c>
      <c r="J217" s="7">
        <f>VLOOKUP(D217, [1]設備資料!$A:$E, 5, 0)</f>
        <v>2</v>
      </c>
      <c r="K217" s="7">
        <f>IF(I217="", 0, IF(OR(I217=0, AND(J217=2, I217&gt;6.6), AND(J217=3, I217&gt;8.6), AND(J217=5, I217&gt;14.1)), 1, 0))</f>
        <v>0</v>
      </c>
      <c r="L217" s="8">
        <v>44.6</v>
      </c>
      <c r="N217" s="7"/>
      <c r="O217" s="9"/>
    </row>
    <row r="218" spans="1:15">
      <c r="A218" s="5">
        <v>46065</v>
      </c>
      <c r="B218" s="6">
        <v>0.33333333333333331</v>
      </c>
      <c r="C218" s="6" t="s">
        <v>19</v>
      </c>
      <c r="D218" s="7" t="s">
        <v>23</v>
      </c>
      <c r="E218" s="7">
        <v>202511011</v>
      </c>
      <c r="F218" s="7">
        <v>81.7</v>
      </c>
      <c r="G218" s="7">
        <v>88.26</v>
      </c>
      <c r="H218" s="8">
        <v>16</v>
      </c>
      <c r="I218" s="7">
        <v>8.3000000000000007</v>
      </c>
      <c r="J218" s="7">
        <f>VLOOKUP(D218, [1]設備資料!$A:$E, 5, 0)</f>
        <v>3</v>
      </c>
      <c r="K218" s="7">
        <f>IF(I218="", 0, IF(OR(I218=0, AND(J218=2, I218&gt;6.6), AND(J218=3, I218&gt;8.6), AND(J218=5, I218&gt;14.1)), 1, 0))</f>
        <v>0</v>
      </c>
      <c r="L218" s="8">
        <v>44.6</v>
      </c>
      <c r="N218" s="7"/>
      <c r="O218" s="9"/>
    </row>
    <row r="219" spans="1:15">
      <c r="A219" s="5">
        <v>46065</v>
      </c>
      <c r="B219" s="6">
        <v>0.33333333333333331</v>
      </c>
      <c r="C219" s="6" t="s">
        <v>19</v>
      </c>
      <c r="D219" s="7" t="s">
        <v>24</v>
      </c>
      <c r="E219" s="7">
        <v>202511012</v>
      </c>
      <c r="F219" s="7">
        <v>80.7</v>
      </c>
      <c r="H219" s="8">
        <v>16</v>
      </c>
      <c r="I219" s="7">
        <v>7.85</v>
      </c>
      <c r="J219" s="7">
        <f>VLOOKUP(D219, [1]設備資料!$A:$E, 5, 0)</f>
        <v>3</v>
      </c>
      <c r="K219" s="7">
        <f>IF(I219="", 0, IF(OR(I219=0, AND(J219=2, I219&gt;6.6), AND(J219=3, I219&gt;8.6), AND(J219=5, I219&gt;14.1)), 1, 0))</f>
        <v>0</v>
      </c>
      <c r="L219" s="8">
        <v>44.6</v>
      </c>
      <c r="N219" s="7"/>
      <c r="O219" s="9"/>
    </row>
    <row r="220" spans="1:15">
      <c r="A220" s="5">
        <v>46065</v>
      </c>
      <c r="B220" s="6">
        <v>0.33333333333333331</v>
      </c>
      <c r="C220" s="6" t="s">
        <v>19</v>
      </c>
      <c r="D220" s="7" t="s">
        <v>25</v>
      </c>
      <c r="E220" s="7">
        <v>202511001</v>
      </c>
      <c r="F220" s="7">
        <v>103.3</v>
      </c>
      <c r="G220" s="7">
        <v>104.2</v>
      </c>
      <c r="H220" s="8">
        <v>16</v>
      </c>
      <c r="I220" s="7">
        <v>13.86</v>
      </c>
      <c r="J220" s="7">
        <f>VLOOKUP(D220, [1]設備資料!$A:$E, 5, 0)</f>
        <v>5</v>
      </c>
      <c r="K220" s="7">
        <f>IF(I220="", 0, IF(OR(I220=0, AND(J220=2, I220&gt;6.6), AND(J220=3, I220&gt;8.6), AND(J220=5, I220&gt;14.1)), 1, 0))</f>
        <v>0</v>
      </c>
      <c r="L220" s="8">
        <v>44.6</v>
      </c>
      <c r="N220" s="7"/>
      <c r="O220" s="9"/>
    </row>
    <row r="221" spans="1:15">
      <c r="A221" s="5">
        <v>46065</v>
      </c>
      <c r="B221" s="6">
        <v>0.33333333333333331</v>
      </c>
      <c r="C221" s="6" t="s">
        <v>19</v>
      </c>
      <c r="D221" s="7" t="s">
        <v>26</v>
      </c>
      <c r="E221" s="7">
        <v>202511002</v>
      </c>
      <c r="F221" s="7">
        <v>99.5</v>
      </c>
      <c r="G221" s="7">
        <v>98.4</v>
      </c>
      <c r="H221" s="8">
        <v>16</v>
      </c>
      <c r="I221" s="7">
        <v>13.84</v>
      </c>
      <c r="J221" s="7">
        <f>VLOOKUP(D221, [1]設備資料!$A:$E, 5, 0)</f>
        <v>5</v>
      </c>
      <c r="K221" s="7">
        <f>IF(I221="", 0, IF(OR(I221=0, AND(J221=2, I221&gt;6.6), AND(J221=3, I221&gt;8.6), AND(J221=5, I221&gt;14.1)), 1, 0))</f>
        <v>0</v>
      </c>
      <c r="L221" s="8">
        <v>44.6</v>
      </c>
      <c r="N221" s="7"/>
      <c r="O221" s="9"/>
    </row>
    <row r="222" spans="1:15">
      <c r="A222" s="5">
        <v>46065</v>
      </c>
      <c r="B222" s="6">
        <v>0.3611111111111111</v>
      </c>
      <c r="C222" s="6" t="s">
        <v>32</v>
      </c>
      <c r="D222" s="7" t="s">
        <v>31</v>
      </c>
      <c r="E222" s="7">
        <v>202510024</v>
      </c>
      <c r="F222" s="7">
        <v>74.7</v>
      </c>
      <c r="G222" s="7">
        <v>74.7</v>
      </c>
      <c r="H222" s="8">
        <v>16</v>
      </c>
      <c r="I222" s="7">
        <v>6.3</v>
      </c>
      <c r="J222" s="7">
        <f>VLOOKUP(D222, [1]設備資料!$A:$E, 5, 0)</f>
        <v>2</v>
      </c>
      <c r="K222" s="7">
        <f>IF(I222="", 0, IF(OR(I222=0, AND(J222=2, I222&gt;6.6), AND(J222=3, I222&gt;8.6), AND(J222=5, I222&gt;14.1)), 1, 0))</f>
        <v>0</v>
      </c>
      <c r="M222" s="8">
        <v>43.6</v>
      </c>
      <c r="N222" s="7"/>
      <c r="O222" s="9"/>
    </row>
    <row r="223" spans="1:15">
      <c r="A223" s="5">
        <v>46065</v>
      </c>
      <c r="B223" s="6">
        <v>0.3611111111111111</v>
      </c>
      <c r="C223" s="6" t="s">
        <v>32</v>
      </c>
      <c r="D223" s="7" t="s">
        <v>33</v>
      </c>
      <c r="E223" s="7">
        <v>202510026</v>
      </c>
      <c r="F223" s="7">
        <v>78.900000000000006</v>
      </c>
      <c r="H223" s="8">
        <v>16</v>
      </c>
      <c r="I223" s="7">
        <v>6.32</v>
      </c>
      <c r="J223" s="7">
        <f>VLOOKUP(D223, [1]設備資料!$A:$E, 5, 0)</f>
        <v>2</v>
      </c>
      <c r="K223" s="7">
        <f>IF(I223="", 0, IF(OR(I223=0, AND(J223=2, I223&gt;6.6), AND(J223=3, I223&gt;8.6), AND(J223=5, I223&gt;14.1)), 1, 0))</f>
        <v>0</v>
      </c>
      <c r="M223" s="8">
        <v>43.6</v>
      </c>
      <c r="N223" s="7"/>
      <c r="O223" s="9"/>
    </row>
    <row r="224" spans="1:15">
      <c r="A224" s="5">
        <v>46065</v>
      </c>
      <c r="B224" s="6">
        <v>0.3611111111111111</v>
      </c>
      <c r="C224" s="6" t="s">
        <v>32</v>
      </c>
      <c r="D224" s="7" t="s">
        <v>34</v>
      </c>
      <c r="E224" s="7">
        <v>202511017</v>
      </c>
      <c r="F224" s="7">
        <v>81.5</v>
      </c>
      <c r="G224" s="7">
        <v>82.1</v>
      </c>
      <c r="H224" s="8">
        <v>16</v>
      </c>
      <c r="I224" s="7">
        <v>8.18</v>
      </c>
      <c r="J224" s="7">
        <f>VLOOKUP(D224, [1]設備資料!$A:$E, 5, 0)</f>
        <v>3</v>
      </c>
      <c r="K224" s="7">
        <f>IF(I224="", 0, IF(OR(I224=0, AND(J224=2, I224&gt;6.6), AND(J224=3, I224&gt;8.6), AND(J224=5, I224&gt;14.1)), 1, 0))</f>
        <v>0</v>
      </c>
      <c r="M224" s="8">
        <v>43.6</v>
      </c>
      <c r="N224" s="7"/>
      <c r="O224" s="9"/>
    </row>
    <row r="225" spans="1:15">
      <c r="A225" s="5">
        <v>46065</v>
      </c>
      <c r="B225" s="6">
        <v>0.3611111111111111</v>
      </c>
      <c r="C225" s="6" t="s">
        <v>32</v>
      </c>
      <c r="D225" s="7" t="s">
        <v>35</v>
      </c>
      <c r="E225" s="7">
        <v>202511005</v>
      </c>
      <c r="F225" s="7">
        <v>103</v>
      </c>
      <c r="G225" s="7">
        <v>97.8</v>
      </c>
      <c r="H225" s="8">
        <v>16</v>
      </c>
      <c r="I225" s="7">
        <v>13.74</v>
      </c>
      <c r="J225" s="7">
        <f>VLOOKUP(D225, [1]設備資料!$A:$E, 5, 0)</f>
        <v>5</v>
      </c>
      <c r="K225" s="7">
        <f>IF(I225="", 0, IF(OR(I225=0, AND(J225=2, I225&gt;6.6), AND(J225=3, I225&gt;8.6), AND(J225=5, I225&gt;14.1)), 1, 0))</f>
        <v>0</v>
      </c>
      <c r="M225" s="8">
        <v>43.6</v>
      </c>
      <c r="N225" s="7"/>
      <c r="O225" s="9"/>
    </row>
    <row r="226" spans="1:15">
      <c r="A226" s="5">
        <v>46065</v>
      </c>
      <c r="B226" s="6">
        <v>0.3611111111111111</v>
      </c>
      <c r="C226" s="6" t="s">
        <v>32</v>
      </c>
      <c r="D226" s="7" t="s">
        <v>36</v>
      </c>
      <c r="E226" s="7" t="s">
        <v>37</v>
      </c>
      <c r="F226" s="7">
        <v>103.5</v>
      </c>
      <c r="G226" s="7">
        <v>97.8</v>
      </c>
      <c r="H226" s="8">
        <v>16</v>
      </c>
      <c r="I226" s="7">
        <v>13.71</v>
      </c>
      <c r="J226" s="7">
        <f>VLOOKUP(D226, [1]設備資料!$A:$E, 5, 0)</f>
        <v>5</v>
      </c>
      <c r="K226" s="7">
        <f>IF(I226="", 0, IF(OR(I226=0, AND(J226=2, I226&gt;6.6), AND(J226=3, I226&gt;8.6), AND(J226=5, I226&gt;14.1)), 1, 0))</f>
        <v>0</v>
      </c>
      <c r="M226" s="8">
        <v>43.6</v>
      </c>
      <c r="N226" s="7"/>
      <c r="O226" s="9"/>
    </row>
    <row r="227" spans="1:15">
      <c r="A227" s="5">
        <v>46065</v>
      </c>
      <c r="B227" s="6">
        <v>0.45833333333333331</v>
      </c>
      <c r="C227" s="6" t="s">
        <v>19</v>
      </c>
      <c r="D227" s="7" t="s">
        <v>16</v>
      </c>
      <c r="E227" s="7">
        <v>202510001</v>
      </c>
      <c r="F227" s="7">
        <v>74.900000000000006</v>
      </c>
      <c r="G227" s="7">
        <v>74.2</v>
      </c>
      <c r="H227" s="8">
        <v>27</v>
      </c>
      <c r="J227" s="7">
        <f>VLOOKUP(D227, [1]設備資料!$A:$E, 5, 0)</f>
        <v>2</v>
      </c>
      <c r="K227" s="7">
        <f>IF(I227="", 0, IF(OR(I227=0, AND(J227=2, I227&gt;6.6), AND(J227=3, I227&gt;8.6), AND(J227=5, I227&gt;14.1)), 1, 0))</f>
        <v>0</v>
      </c>
      <c r="L227" s="8">
        <v>44.6</v>
      </c>
      <c r="N227" s="7"/>
      <c r="O227" s="9"/>
    </row>
    <row r="228" spans="1:15">
      <c r="A228" s="5">
        <v>46065</v>
      </c>
      <c r="B228" s="6">
        <v>0.45833333333333331</v>
      </c>
      <c r="C228" s="6" t="s">
        <v>19</v>
      </c>
      <c r="D228" s="7" t="s">
        <v>20</v>
      </c>
      <c r="E228" s="7">
        <v>202510006</v>
      </c>
      <c r="F228" s="7">
        <v>70.900000000000006</v>
      </c>
      <c r="H228" s="8">
        <v>27</v>
      </c>
      <c r="J228" s="7">
        <f>VLOOKUP(D228, [1]設備資料!$A:$E, 5, 0)</f>
        <v>2</v>
      </c>
      <c r="K228" s="7">
        <f>IF(I228="", 0, IF(OR(I228=0, AND(J228=2, I228&gt;6.6), AND(J228=3, I228&gt;8.6), AND(J228=5, I228&gt;14.1)), 1, 0))</f>
        <v>0</v>
      </c>
      <c r="L228" s="8">
        <v>44.6</v>
      </c>
      <c r="N228" s="7"/>
      <c r="O228" s="9"/>
    </row>
    <row r="229" spans="1:15">
      <c r="A229" s="5">
        <v>46065</v>
      </c>
      <c r="B229" s="6">
        <v>0.45833333333333331</v>
      </c>
      <c r="C229" s="6" t="s">
        <v>19</v>
      </c>
      <c r="D229" s="7" t="s">
        <v>23</v>
      </c>
      <c r="E229" s="7">
        <v>202511011</v>
      </c>
      <c r="F229" s="7">
        <v>80.8</v>
      </c>
      <c r="G229" s="7">
        <v>82</v>
      </c>
      <c r="H229" s="8">
        <v>27</v>
      </c>
      <c r="J229" s="7">
        <f>VLOOKUP(D229, [1]設備資料!$A:$E, 5, 0)</f>
        <v>3</v>
      </c>
      <c r="K229" s="7">
        <f>IF(I229="", 0, IF(OR(I229=0, AND(J229=2, I229&gt;6.6), AND(J229=3, I229&gt;8.6), AND(J229=5, I229&gt;14.1)), 1, 0))</f>
        <v>0</v>
      </c>
      <c r="L229" s="8">
        <v>44.6</v>
      </c>
      <c r="N229" s="7"/>
      <c r="O229" s="9"/>
    </row>
    <row r="230" spans="1:15">
      <c r="A230" s="5">
        <v>46065</v>
      </c>
      <c r="B230" s="6">
        <v>0.45833333333333331</v>
      </c>
      <c r="C230" s="6" t="s">
        <v>19</v>
      </c>
      <c r="D230" s="7" t="s">
        <v>24</v>
      </c>
      <c r="E230" s="7">
        <v>202511012</v>
      </c>
      <c r="F230" s="7">
        <v>80.7</v>
      </c>
      <c r="H230" s="8">
        <v>27</v>
      </c>
      <c r="J230" s="7">
        <f>VLOOKUP(D230, [1]設備資料!$A:$E, 5, 0)</f>
        <v>3</v>
      </c>
      <c r="K230" s="7">
        <f>IF(I230="", 0, IF(OR(I230=0, AND(J230=2, I230&gt;6.6), AND(J230=3, I230&gt;8.6), AND(J230=5, I230&gt;14.1)), 1, 0))</f>
        <v>0</v>
      </c>
      <c r="L230" s="8">
        <v>44.6</v>
      </c>
      <c r="N230" s="7"/>
      <c r="O230" s="9"/>
    </row>
    <row r="231" spans="1:15">
      <c r="A231" s="5">
        <v>46065</v>
      </c>
      <c r="B231" s="6">
        <v>0.45833333333333331</v>
      </c>
      <c r="C231" s="6" t="s">
        <v>19</v>
      </c>
      <c r="D231" s="7" t="s">
        <v>25</v>
      </c>
      <c r="E231" s="7">
        <v>202511001</v>
      </c>
      <c r="F231" s="7">
        <v>102.4</v>
      </c>
      <c r="G231" s="7">
        <v>103.3</v>
      </c>
      <c r="H231" s="8">
        <v>27</v>
      </c>
      <c r="J231" s="7">
        <f>VLOOKUP(D231, [1]設備資料!$A:$E, 5, 0)</f>
        <v>5</v>
      </c>
      <c r="K231" s="7">
        <f>IF(I231="", 0, IF(OR(I231=0, AND(J231=2, I231&gt;6.6), AND(J231=3, I231&gt;8.6), AND(J231=5, I231&gt;14.1)), 1, 0))</f>
        <v>0</v>
      </c>
      <c r="L231" s="8">
        <v>44.6</v>
      </c>
      <c r="N231" s="7"/>
      <c r="O231" s="9"/>
    </row>
    <row r="232" spans="1:15">
      <c r="A232" s="5">
        <v>46065</v>
      </c>
      <c r="B232" s="6">
        <v>0.45833333333333331</v>
      </c>
      <c r="C232" s="6" t="s">
        <v>19</v>
      </c>
      <c r="D232" s="7" t="s">
        <v>26</v>
      </c>
      <c r="E232" s="7">
        <v>202511002</v>
      </c>
      <c r="F232" s="7">
        <v>97.6</v>
      </c>
      <c r="G232" s="7">
        <v>98.8</v>
      </c>
      <c r="H232" s="8">
        <v>27</v>
      </c>
      <c r="J232" s="7">
        <f>VLOOKUP(D232, [1]設備資料!$A:$E, 5, 0)</f>
        <v>5</v>
      </c>
      <c r="K232" s="7">
        <f>IF(I232="", 0, IF(OR(I232=0, AND(J232=2, I232&gt;6.6), AND(J232=3, I232&gt;8.6), AND(J232=5, I232&gt;14.1)), 1, 0))</f>
        <v>0</v>
      </c>
      <c r="L232" s="8">
        <v>44.6</v>
      </c>
      <c r="N232" s="7"/>
      <c r="O232" s="9"/>
    </row>
    <row r="233" spans="1:15">
      <c r="A233" s="5">
        <v>46065</v>
      </c>
      <c r="B233" s="6">
        <v>0.4861111111111111</v>
      </c>
      <c r="C233" s="6" t="s">
        <v>32</v>
      </c>
      <c r="D233" s="7" t="s">
        <v>31</v>
      </c>
      <c r="E233" s="7">
        <v>202510024</v>
      </c>
      <c r="F233" s="7">
        <v>74.7</v>
      </c>
      <c r="G233" s="7">
        <v>74.599999999999994</v>
      </c>
      <c r="H233" s="8">
        <v>27</v>
      </c>
      <c r="J233" s="7">
        <f>VLOOKUP(D233, [1]設備資料!$A:$E, 5, 0)</f>
        <v>2</v>
      </c>
      <c r="K233" s="7">
        <f>IF(I233="", 0, IF(OR(I233=0, AND(J233=2, I233&gt;6.6), AND(J233=3, I233&gt;8.6), AND(J233=5, I233&gt;14.1)), 1, 0))</f>
        <v>0</v>
      </c>
      <c r="M233" s="8">
        <v>43.6</v>
      </c>
      <c r="N233" s="7"/>
      <c r="O233" s="9"/>
    </row>
    <row r="234" spans="1:15">
      <c r="A234" s="5">
        <v>46065</v>
      </c>
      <c r="B234" s="6">
        <v>0.4861111111111111</v>
      </c>
      <c r="C234" s="6" t="s">
        <v>32</v>
      </c>
      <c r="D234" s="7" t="s">
        <v>33</v>
      </c>
      <c r="E234" s="7">
        <v>202510026</v>
      </c>
      <c r="F234" s="7">
        <v>78.900000000000006</v>
      </c>
      <c r="H234" s="8">
        <v>27</v>
      </c>
      <c r="J234" s="7">
        <f>VLOOKUP(D234, [1]設備資料!$A:$E, 5, 0)</f>
        <v>2</v>
      </c>
      <c r="K234" s="7">
        <f>IF(I234="", 0, IF(OR(I234=0, AND(J234=2, I234&gt;6.6), AND(J234=3, I234&gt;8.6), AND(J234=5, I234&gt;14.1)), 1, 0))</f>
        <v>0</v>
      </c>
      <c r="M234" s="8">
        <v>43.6</v>
      </c>
      <c r="N234" s="7"/>
      <c r="O234" s="9"/>
    </row>
    <row r="235" spans="1:15">
      <c r="A235" s="5">
        <v>46065</v>
      </c>
      <c r="B235" s="6">
        <v>0.4861111111111111</v>
      </c>
      <c r="C235" s="6" t="s">
        <v>32</v>
      </c>
      <c r="D235" s="7" t="s">
        <v>34</v>
      </c>
      <c r="E235" s="7">
        <v>202511017</v>
      </c>
      <c r="F235" s="7">
        <v>81.2</v>
      </c>
      <c r="G235" s="7">
        <v>81.599999999999994</v>
      </c>
      <c r="H235" s="8">
        <v>27</v>
      </c>
      <c r="J235" s="7">
        <f>VLOOKUP(D235, [1]設備資料!$A:$E, 5, 0)</f>
        <v>3</v>
      </c>
      <c r="K235" s="7">
        <f>IF(I235="", 0, IF(OR(I235=0, AND(J235=2, I235&gt;6.6), AND(J235=3, I235&gt;8.6), AND(J235=5, I235&gt;14.1)), 1, 0))</f>
        <v>0</v>
      </c>
      <c r="M235" s="8">
        <v>43.6</v>
      </c>
      <c r="N235" s="7"/>
      <c r="O235" s="9"/>
    </row>
    <row r="236" spans="1:15">
      <c r="A236" s="5">
        <v>46065</v>
      </c>
      <c r="B236" s="6">
        <v>0.4861111111111111</v>
      </c>
      <c r="C236" s="6" t="s">
        <v>32</v>
      </c>
      <c r="D236" s="7" t="s">
        <v>35</v>
      </c>
      <c r="E236" s="7">
        <v>202511005</v>
      </c>
      <c r="F236" s="7">
        <v>102.2</v>
      </c>
      <c r="G236" s="7">
        <v>97.6</v>
      </c>
      <c r="H236" s="8">
        <v>27</v>
      </c>
      <c r="J236" s="7">
        <f>VLOOKUP(D236, [1]設備資料!$A:$E, 5, 0)</f>
        <v>5</v>
      </c>
      <c r="K236" s="7">
        <f>IF(I236="", 0, IF(OR(I236=0, AND(J236=2, I236&gt;6.6), AND(J236=3, I236&gt;8.6), AND(J236=5, I236&gt;14.1)), 1, 0))</f>
        <v>0</v>
      </c>
      <c r="M236" s="8">
        <v>43.6</v>
      </c>
      <c r="N236" s="7"/>
      <c r="O236" s="9"/>
    </row>
    <row r="237" spans="1:15">
      <c r="A237" s="5">
        <v>46065</v>
      </c>
      <c r="B237" s="6">
        <v>0.4861111111111111</v>
      </c>
      <c r="C237" s="6" t="s">
        <v>32</v>
      </c>
      <c r="D237" s="7" t="s">
        <v>36</v>
      </c>
      <c r="E237" s="7" t="s">
        <v>37</v>
      </c>
      <c r="F237" s="7">
        <v>103</v>
      </c>
      <c r="G237" s="7">
        <v>97.7</v>
      </c>
      <c r="H237" s="8">
        <v>27</v>
      </c>
      <c r="J237" s="7">
        <f>VLOOKUP(D237, [1]設備資料!$A:$E, 5, 0)</f>
        <v>5</v>
      </c>
      <c r="K237" s="7">
        <f>IF(I237="", 0, IF(OR(I237=0, AND(J237=2, I237&gt;6.6), AND(J237=3, I237&gt;8.6), AND(J237=5, I237&gt;14.1)), 1, 0))</f>
        <v>0</v>
      </c>
      <c r="M237" s="8">
        <v>43.6</v>
      </c>
      <c r="N237" s="7"/>
      <c r="O237" s="9"/>
    </row>
    <row r="238" spans="1:15">
      <c r="A238" s="5">
        <v>46065</v>
      </c>
      <c r="B238" s="6">
        <v>0.69444444444444442</v>
      </c>
      <c r="C238" s="6" t="s">
        <v>32</v>
      </c>
      <c r="D238" s="7" t="s">
        <v>31</v>
      </c>
      <c r="E238" s="7">
        <v>202510024</v>
      </c>
      <c r="F238" s="7">
        <v>74.7</v>
      </c>
      <c r="G238" s="7">
        <v>74.599999999999994</v>
      </c>
      <c r="H238" s="8">
        <v>27</v>
      </c>
      <c r="I238" s="7">
        <v>6.21</v>
      </c>
      <c r="J238" s="7">
        <f>VLOOKUP(D238, [1]設備資料!$A:$E, 5, 0)</f>
        <v>2</v>
      </c>
      <c r="K238" s="7">
        <f>IF(I238="", 0, IF(OR(I238=0, AND(J238=2, I238&gt;6.6), AND(J238=3, I238&gt;8.6), AND(J238=5, I238&gt;14.1)), 1, 0))</f>
        <v>0</v>
      </c>
      <c r="M238" s="8">
        <v>43.9</v>
      </c>
      <c r="N238" s="7"/>
      <c r="O238" s="9"/>
    </row>
    <row r="239" spans="1:15">
      <c r="A239" s="5">
        <v>46065</v>
      </c>
      <c r="B239" s="6">
        <v>0.69444444444444442</v>
      </c>
      <c r="C239" s="6" t="s">
        <v>32</v>
      </c>
      <c r="D239" s="7" t="s">
        <v>33</v>
      </c>
      <c r="E239" s="7">
        <v>202510026</v>
      </c>
      <c r="F239" s="7">
        <v>78.8</v>
      </c>
      <c r="H239" s="8">
        <v>27</v>
      </c>
      <c r="I239" s="7">
        <v>6.26</v>
      </c>
      <c r="J239" s="7">
        <f>VLOOKUP(D239, [1]設備資料!$A:$E, 5, 0)</f>
        <v>2</v>
      </c>
      <c r="K239" s="7">
        <f>IF(I239="", 0, IF(OR(I239=0, AND(J239=2, I239&gt;6.6), AND(J239=3, I239&gt;8.6), AND(J239=5, I239&gt;14.1)), 1, 0))</f>
        <v>0</v>
      </c>
      <c r="M239" s="8">
        <v>43.9</v>
      </c>
      <c r="N239" s="7"/>
      <c r="O239" s="9"/>
    </row>
    <row r="240" spans="1:15">
      <c r="A240" s="5">
        <v>46065</v>
      </c>
      <c r="B240" s="6">
        <v>0.69444444444444442</v>
      </c>
      <c r="C240" s="6" t="s">
        <v>32</v>
      </c>
      <c r="D240" s="7" t="s">
        <v>34</v>
      </c>
      <c r="E240" s="7">
        <v>202511017</v>
      </c>
      <c r="F240" s="7">
        <v>81.7</v>
      </c>
      <c r="G240" s="7">
        <v>81.599999999999994</v>
      </c>
      <c r="H240" s="8">
        <v>27</v>
      </c>
      <c r="I240" s="7">
        <v>8.14</v>
      </c>
      <c r="J240" s="7">
        <f>VLOOKUP(D240, [1]設備資料!$A:$E, 5, 0)</f>
        <v>3</v>
      </c>
      <c r="K240" s="7">
        <f>IF(I240="", 0, IF(OR(I240=0, AND(J240=2, I240&gt;6.6), AND(J240=3, I240&gt;8.6), AND(J240=5, I240&gt;14.1)), 1, 0))</f>
        <v>0</v>
      </c>
      <c r="M240" s="8">
        <v>43.9</v>
      </c>
      <c r="N240" s="7"/>
      <c r="O240" s="9"/>
    </row>
    <row r="241" spans="1:15">
      <c r="A241" s="5">
        <v>46065</v>
      </c>
      <c r="B241" s="6">
        <v>0.69444444444444442</v>
      </c>
      <c r="C241" s="6" t="s">
        <v>32</v>
      </c>
      <c r="D241" s="7" t="s">
        <v>35</v>
      </c>
      <c r="E241" s="7">
        <v>202511005</v>
      </c>
      <c r="F241" s="7">
        <v>102</v>
      </c>
      <c r="G241" s="7">
        <v>97.2</v>
      </c>
      <c r="H241" s="8">
        <v>27</v>
      </c>
      <c r="I241" s="7">
        <v>13.93</v>
      </c>
      <c r="J241" s="7">
        <f>VLOOKUP(D241, [1]設備資料!$A:$E, 5, 0)</f>
        <v>5</v>
      </c>
      <c r="K241" s="7">
        <f>IF(I241="", 0, IF(OR(I241=0, AND(J241=2, I241&gt;6.6), AND(J241=3, I241&gt;8.6), AND(J241=5, I241&gt;14.1)), 1, 0))</f>
        <v>0</v>
      </c>
      <c r="M241" s="8">
        <v>43.9</v>
      </c>
      <c r="N241" s="7"/>
      <c r="O241" s="9"/>
    </row>
    <row r="242" spans="1:15">
      <c r="A242" s="5">
        <v>46065</v>
      </c>
      <c r="B242" s="6">
        <v>0.69444444444444442</v>
      </c>
      <c r="C242" s="6" t="s">
        <v>32</v>
      </c>
      <c r="D242" s="7" t="s">
        <v>36</v>
      </c>
      <c r="E242" s="7" t="s">
        <v>37</v>
      </c>
      <c r="F242" s="7">
        <v>103.7</v>
      </c>
      <c r="G242" s="7">
        <v>97.3</v>
      </c>
      <c r="H242" s="8">
        <v>27</v>
      </c>
      <c r="I242" s="7">
        <v>13.81</v>
      </c>
      <c r="J242" s="7">
        <f>VLOOKUP(D242, [1]設備資料!$A:$E, 5, 0)</f>
        <v>5</v>
      </c>
      <c r="K242" s="7">
        <f>IF(I242="", 0, IF(OR(I242=0, AND(J242=2, I242&gt;6.6), AND(J242=3, I242&gt;8.6), AND(J242=5, I242&gt;14.1)), 1, 0))</f>
        <v>0</v>
      </c>
      <c r="M242" s="8">
        <v>43.9</v>
      </c>
      <c r="N242" s="7"/>
      <c r="O242" s="9"/>
    </row>
    <row r="243" spans="1:15">
      <c r="A243" s="5">
        <v>46065</v>
      </c>
      <c r="B243" s="6">
        <v>0.70833333333333337</v>
      </c>
      <c r="C243" s="6" t="s">
        <v>19</v>
      </c>
      <c r="D243" s="7" t="s">
        <v>16</v>
      </c>
      <c r="E243" s="7">
        <v>202510001</v>
      </c>
      <c r="F243" s="7">
        <v>75</v>
      </c>
      <c r="G243" s="7">
        <v>74.5</v>
      </c>
      <c r="H243" s="8">
        <v>27</v>
      </c>
      <c r="I243" s="7">
        <v>6.22</v>
      </c>
      <c r="J243" s="7">
        <f>VLOOKUP(D243, [1]設備資料!$A:$E, 5, 0)</f>
        <v>2</v>
      </c>
      <c r="K243" s="7">
        <f>IF(I243="", 0, IF(OR(I243=0, AND(J243=2, I243&gt;6.6), AND(J243=3, I243&gt;8.6), AND(J243=5, I243&gt;14.1)), 1, 0))</f>
        <v>0</v>
      </c>
      <c r="L243" s="8">
        <v>44.8</v>
      </c>
      <c r="N243" s="7"/>
      <c r="O243" s="9"/>
    </row>
    <row r="244" spans="1:15">
      <c r="A244" s="5">
        <v>46065</v>
      </c>
      <c r="B244" s="6">
        <v>0.70833333333333337</v>
      </c>
      <c r="C244" s="6" t="s">
        <v>19</v>
      </c>
      <c r="D244" s="7" t="s">
        <v>20</v>
      </c>
      <c r="E244" s="7">
        <v>202510006</v>
      </c>
      <c r="F244" s="7">
        <v>71.2</v>
      </c>
      <c r="H244" s="8">
        <v>27</v>
      </c>
      <c r="I244" s="7">
        <v>5.88</v>
      </c>
      <c r="J244" s="7">
        <f>VLOOKUP(D244, [1]設備資料!$A:$E, 5, 0)</f>
        <v>2</v>
      </c>
      <c r="K244" s="7">
        <f>IF(I244="", 0, IF(OR(I244=0, AND(J244=2, I244&gt;6.6), AND(J244=3, I244&gt;8.6), AND(J244=5, I244&gt;14.1)), 1, 0))</f>
        <v>0</v>
      </c>
      <c r="L244" s="8">
        <v>44.8</v>
      </c>
      <c r="N244" s="7"/>
      <c r="O244" s="9"/>
    </row>
    <row r="245" spans="1:15">
      <c r="A245" s="5">
        <v>46065</v>
      </c>
      <c r="B245" s="6">
        <v>0.70833333333333337</v>
      </c>
      <c r="C245" s="6" t="s">
        <v>19</v>
      </c>
      <c r="D245" s="7" t="s">
        <v>23</v>
      </c>
      <c r="E245" s="7">
        <v>202511011</v>
      </c>
      <c r="F245" s="7">
        <v>80.8</v>
      </c>
      <c r="G245" s="7">
        <v>82.2</v>
      </c>
      <c r="H245" s="8">
        <v>27</v>
      </c>
      <c r="I245" s="7">
        <v>8.32</v>
      </c>
      <c r="J245" s="7">
        <f>VLOOKUP(D245, [1]設備資料!$A:$E, 5, 0)</f>
        <v>3</v>
      </c>
      <c r="K245" s="7">
        <f>IF(I245="", 0, IF(OR(I245=0, AND(J245=2, I245&gt;6.6), AND(J245=3, I245&gt;8.6), AND(J245=5, I245&gt;14.1)), 1, 0))</f>
        <v>0</v>
      </c>
      <c r="L245" s="8">
        <v>44.8</v>
      </c>
      <c r="N245" s="7"/>
      <c r="O245" s="9"/>
    </row>
    <row r="246" spans="1:15">
      <c r="A246" s="5">
        <v>46065</v>
      </c>
      <c r="B246" s="6">
        <v>0.70833333333333337</v>
      </c>
      <c r="C246" s="6" t="s">
        <v>19</v>
      </c>
      <c r="D246" s="7" t="s">
        <v>24</v>
      </c>
      <c r="E246" s="7">
        <v>202511012</v>
      </c>
      <c r="F246" s="7">
        <v>80.900000000000006</v>
      </c>
      <c r="H246" s="8">
        <v>27</v>
      </c>
      <c r="I246" s="7">
        <v>8.19</v>
      </c>
      <c r="J246" s="7">
        <f>VLOOKUP(D246, [1]設備資料!$A:$E, 5, 0)</f>
        <v>3</v>
      </c>
      <c r="K246" s="7">
        <f>IF(I246="", 0, IF(OR(I246=0, AND(J246=2, I246&gt;6.6), AND(J246=3, I246&gt;8.6), AND(J246=5, I246&gt;14.1)), 1, 0))</f>
        <v>0</v>
      </c>
      <c r="L246" s="8">
        <v>44.8</v>
      </c>
      <c r="N246" s="7"/>
      <c r="O246" s="9"/>
    </row>
    <row r="247" spans="1:15">
      <c r="A247" s="5">
        <v>46065</v>
      </c>
      <c r="B247" s="6">
        <v>0.70833333333333337</v>
      </c>
      <c r="C247" s="6" t="s">
        <v>19</v>
      </c>
      <c r="D247" s="7" t="s">
        <v>25</v>
      </c>
      <c r="E247" s="7">
        <v>202511001</v>
      </c>
      <c r="F247" s="7">
        <v>101.9</v>
      </c>
      <c r="G247" s="7">
        <v>103.5</v>
      </c>
      <c r="H247" s="8">
        <v>27</v>
      </c>
      <c r="I247" s="7">
        <v>14.34</v>
      </c>
      <c r="J247" s="7">
        <f>VLOOKUP(D247, [1]設備資料!$A:$E, 5, 0)</f>
        <v>5</v>
      </c>
      <c r="K247" s="7">
        <f>IF(I247="", 0, IF(OR(I247=0, AND(J247=2, I247&gt;6.6), AND(J247=3, I247&gt;8.6), AND(J247=5, I247&gt;14.1)), 1, 0))</f>
        <v>1</v>
      </c>
      <c r="L247" s="8">
        <v>44.8</v>
      </c>
      <c r="N247" s="7"/>
      <c r="O247" s="9"/>
    </row>
    <row r="248" spans="1:15">
      <c r="A248" s="5">
        <v>46065</v>
      </c>
      <c r="B248" s="6">
        <v>0.70833333333333337</v>
      </c>
      <c r="C248" s="6" t="s">
        <v>19</v>
      </c>
      <c r="D248" s="7" t="s">
        <v>26</v>
      </c>
      <c r="E248" s="7">
        <v>202511002</v>
      </c>
      <c r="F248" s="7">
        <v>98.5</v>
      </c>
      <c r="G248" s="7">
        <v>98</v>
      </c>
      <c r="H248" s="8">
        <v>27</v>
      </c>
      <c r="I248" s="7">
        <v>14.15</v>
      </c>
      <c r="J248" s="7">
        <f>VLOOKUP(D248, [1]設備資料!$A:$E, 5, 0)</f>
        <v>5</v>
      </c>
      <c r="K248" s="7">
        <f>IF(I248="", 0, IF(OR(I248=0, AND(J248=2, I248&gt;6.6), AND(J248=3, I248&gt;8.6), AND(J248=5, I248&gt;14.1)), 1, 0))</f>
        <v>1</v>
      </c>
      <c r="L248" s="8">
        <v>44.8</v>
      </c>
      <c r="N248" s="7"/>
      <c r="O248" s="9"/>
    </row>
    <row r="249" spans="1:15">
      <c r="A249" s="5">
        <v>46066</v>
      </c>
      <c r="B249" s="6">
        <v>0.33333333333333331</v>
      </c>
      <c r="C249" s="6" t="s">
        <v>19</v>
      </c>
      <c r="D249" s="7" t="s">
        <v>16</v>
      </c>
      <c r="E249" s="7">
        <v>202510001</v>
      </c>
      <c r="F249" s="7">
        <v>76.7</v>
      </c>
      <c r="G249" s="7">
        <v>76</v>
      </c>
      <c r="H249" s="8">
        <v>19</v>
      </c>
      <c r="I249" s="7">
        <v>6.55</v>
      </c>
      <c r="J249" s="7">
        <f>VLOOKUP(D249, [1]設備資料!$A:$E, 5, 0)</f>
        <v>2</v>
      </c>
      <c r="K249" s="7">
        <f>IF(I249="", 0, IF(OR(I249=0, AND(J249=2, I249&gt;6.6), AND(J249=3, I249&gt;8.6), AND(J249=5, I249&gt;14.1)), 1, 0))</f>
        <v>0</v>
      </c>
      <c r="L249" s="8">
        <v>46.1</v>
      </c>
      <c r="N249" s="7"/>
      <c r="O249" s="9"/>
    </row>
    <row r="250" spans="1:15">
      <c r="A250" s="5">
        <v>46066</v>
      </c>
      <c r="B250" s="6">
        <v>0.33333333333333331</v>
      </c>
      <c r="C250" s="6" t="s">
        <v>19</v>
      </c>
      <c r="D250" s="7" t="s">
        <v>20</v>
      </c>
      <c r="E250" s="7">
        <v>202510006</v>
      </c>
      <c r="F250" s="7">
        <v>72.7</v>
      </c>
      <c r="H250" s="8">
        <v>19</v>
      </c>
      <c r="I250" s="7">
        <v>6.33</v>
      </c>
      <c r="J250" s="7">
        <f>VLOOKUP(D250, [1]設備資料!$A:$E, 5, 0)</f>
        <v>2</v>
      </c>
      <c r="K250" s="7">
        <f>IF(I250="", 0, IF(OR(I250=0, AND(J250=2, I250&gt;6.6), AND(J250=3, I250&gt;8.6), AND(J250=5, I250&gt;14.1)), 1, 0))</f>
        <v>0</v>
      </c>
      <c r="L250" s="8">
        <v>46.1</v>
      </c>
      <c r="N250" s="7"/>
      <c r="O250" s="9"/>
    </row>
    <row r="251" spans="1:15">
      <c r="A251" s="5">
        <v>46066</v>
      </c>
      <c r="B251" s="6">
        <v>0.33333333333333331</v>
      </c>
      <c r="C251" s="6" t="s">
        <v>19</v>
      </c>
      <c r="D251" s="7" t="s">
        <v>23</v>
      </c>
      <c r="E251" s="7">
        <v>202511011</v>
      </c>
      <c r="F251" s="7">
        <v>83.1</v>
      </c>
      <c r="G251" s="7">
        <v>84.1</v>
      </c>
      <c r="H251" s="8">
        <v>19</v>
      </c>
      <c r="I251" s="7">
        <v>7.91</v>
      </c>
      <c r="J251" s="7">
        <f>VLOOKUP(D251, [1]設備資料!$A:$E, 5, 0)</f>
        <v>3</v>
      </c>
      <c r="K251" s="7">
        <f>IF(I251="", 0, IF(OR(I251=0, AND(J251=2, I251&gt;6.6), AND(J251=3, I251&gt;8.6), AND(J251=5, I251&gt;14.1)), 1, 0))</f>
        <v>0</v>
      </c>
      <c r="L251" s="8">
        <v>46.1</v>
      </c>
      <c r="N251" s="7"/>
      <c r="O251" s="9"/>
    </row>
    <row r="252" spans="1:15">
      <c r="A252" s="5">
        <v>46066</v>
      </c>
      <c r="B252" s="6">
        <v>0.33333333333333331</v>
      </c>
      <c r="C252" s="6" t="s">
        <v>19</v>
      </c>
      <c r="D252" s="7" t="s">
        <v>24</v>
      </c>
      <c r="E252" s="7">
        <v>202511012</v>
      </c>
      <c r="F252" s="7">
        <v>82.4</v>
      </c>
      <c r="H252" s="8">
        <v>19</v>
      </c>
      <c r="I252" s="7">
        <v>7.82</v>
      </c>
      <c r="J252" s="7">
        <f>VLOOKUP(D252, [1]設備資料!$A:$E, 5, 0)</f>
        <v>3</v>
      </c>
      <c r="K252" s="7">
        <f>IF(I252="", 0, IF(OR(I252=0, AND(J252=2, I252&gt;6.6), AND(J252=3, I252&gt;8.6), AND(J252=5, I252&gt;14.1)), 1, 0))</f>
        <v>0</v>
      </c>
      <c r="L252" s="8">
        <v>46.1</v>
      </c>
      <c r="N252" s="7"/>
      <c r="O252" s="9"/>
    </row>
    <row r="253" spans="1:15">
      <c r="A253" s="5">
        <v>46066</v>
      </c>
      <c r="B253" s="6">
        <v>0.33333333333333331</v>
      </c>
      <c r="C253" s="6" t="s">
        <v>19</v>
      </c>
      <c r="D253" s="7" t="s">
        <v>25</v>
      </c>
      <c r="E253" s="7">
        <v>202511001</v>
      </c>
      <c r="F253" s="7">
        <v>104.3</v>
      </c>
      <c r="G253" s="7">
        <v>105.1</v>
      </c>
      <c r="H253" s="8">
        <v>19</v>
      </c>
      <c r="I253" s="7">
        <v>14.38</v>
      </c>
      <c r="J253" s="7">
        <f>VLOOKUP(D253, [1]設備資料!$A:$E, 5, 0)</f>
        <v>5</v>
      </c>
      <c r="K253" s="7">
        <f>IF(I253="", 0, IF(OR(I253=0, AND(J253=2, I253&gt;6.6), AND(J253=3, I253&gt;8.6), AND(J253=5, I253&gt;14.1)), 1, 0))</f>
        <v>1</v>
      </c>
      <c r="L253" s="8">
        <v>46.1</v>
      </c>
      <c r="N253" s="7"/>
      <c r="O253" s="9"/>
    </row>
    <row r="254" spans="1:15">
      <c r="A254" s="5">
        <v>46066</v>
      </c>
      <c r="B254" s="6">
        <v>0.33333333333333331</v>
      </c>
      <c r="C254" s="6" t="s">
        <v>19</v>
      </c>
      <c r="D254" s="7" t="s">
        <v>26</v>
      </c>
      <c r="E254" s="7">
        <v>202511002</v>
      </c>
      <c r="F254" s="7">
        <v>100.6</v>
      </c>
      <c r="G254" s="7">
        <v>99.6</v>
      </c>
      <c r="H254" s="8">
        <v>19</v>
      </c>
      <c r="I254" s="7">
        <v>14.06</v>
      </c>
      <c r="J254" s="7">
        <f>VLOOKUP(D254, [1]設備資料!$A:$E, 5, 0)</f>
        <v>5</v>
      </c>
      <c r="K254" s="7">
        <f>IF(I254="", 0, IF(OR(I254=0, AND(J254=2, I254&gt;6.6), AND(J254=3, I254&gt;8.6), AND(J254=5, I254&gt;14.1)), 1, 0))</f>
        <v>0</v>
      </c>
      <c r="L254" s="8">
        <v>46.1</v>
      </c>
      <c r="N254" s="7"/>
      <c r="O254" s="9"/>
    </row>
    <row r="255" spans="1:15">
      <c r="A255" s="5">
        <v>46066</v>
      </c>
      <c r="B255" s="6">
        <v>0.3611111111111111</v>
      </c>
      <c r="C255" s="6" t="s">
        <v>32</v>
      </c>
      <c r="D255" s="7" t="s">
        <v>31</v>
      </c>
      <c r="E255" s="7">
        <v>202510024</v>
      </c>
      <c r="F255" s="7">
        <v>76.099999999999994</v>
      </c>
      <c r="G255" s="7">
        <v>76.2</v>
      </c>
      <c r="H255" s="8">
        <v>19</v>
      </c>
      <c r="I255" s="7">
        <v>6.38</v>
      </c>
      <c r="J255" s="7">
        <f>VLOOKUP(D255, [1]設備資料!$A:$E, 5, 0)</f>
        <v>2</v>
      </c>
      <c r="K255" s="7">
        <f>IF(I255="", 0, IF(OR(I255=0, AND(J255=2, I255&gt;6.6), AND(J255=3, I255&gt;8.6), AND(J255=5, I255&gt;14.1)), 1, 0))</f>
        <v>0</v>
      </c>
      <c r="M255" s="8">
        <v>44.9</v>
      </c>
      <c r="N255" s="7"/>
      <c r="O255" s="9"/>
    </row>
    <row r="256" spans="1:15">
      <c r="A256" s="5">
        <v>46066</v>
      </c>
      <c r="B256" s="6">
        <v>0.3611111111111111</v>
      </c>
      <c r="C256" s="6" t="s">
        <v>32</v>
      </c>
      <c r="D256" s="7" t="s">
        <v>33</v>
      </c>
      <c r="E256" s="7">
        <v>202510026</v>
      </c>
      <c r="F256" s="7">
        <v>80.8</v>
      </c>
      <c r="H256" s="8">
        <v>19</v>
      </c>
      <c r="I256" s="7">
        <v>6.41</v>
      </c>
      <c r="J256" s="7">
        <f>VLOOKUP(D256, [1]設備資料!$A:$E, 5, 0)</f>
        <v>2</v>
      </c>
      <c r="K256" s="7">
        <f>IF(I256="", 0, IF(OR(I256=0, AND(J256=2, I256&gt;6.6), AND(J256=3, I256&gt;8.6), AND(J256=5, I256&gt;14.1)), 1, 0))</f>
        <v>0</v>
      </c>
      <c r="M256" s="8">
        <v>44.9</v>
      </c>
      <c r="N256" s="7"/>
      <c r="O256" s="9"/>
    </row>
    <row r="257" spans="1:15">
      <c r="A257" s="5">
        <v>46066</v>
      </c>
      <c r="B257" s="6">
        <v>0.3611111111111111</v>
      </c>
      <c r="C257" s="6" t="s">
        <v>32</v>
      </c>
      <c r="D257" s="7" t="s">
        <v>34</v>
      </c>
      <c r="E257" s="7">
        <v>202511017</v>
      </c>
      <c r="F257" s="7">
        <v>83.1</v>
      </c>
      <c r="G257" s="7">
        <v>83.8</v>
      </c>
      <c r="H257" s="8">
        <v>19</v>
      </c>
      <c r="I257" s="7">
        <v>7.91</v>
      </c>
      <c r="J257" s="7">
        <f>VLOOKUP(D257, [1]設備資料!$A:$E, 5, 0)</f>
        <v>3</v>
      </c>
      <c r="K257" s="7">
        <f>IF(I257="", 0, IF(OR(I257=0, AND(J257=2, I257&gt;6.6), AND(J257=3, I257&gt;8.6), AND(J257=5, I257&gt;14.1)), 1, 0))</f>
        <v>0</v>
      </c>
      <c r="M257" s="8">
        <v>44.9</v>
      </c>
      <c r="N257" s="7"/>
      <c r="O257" s="9"/>
    </row>
    <row r="258" spans="1:15">
      <c r="A258" s="5">
        <v>46066</v>
      </c>
      <c r="B258" s="6">
        <v>0.3611111111111111</v>
      </c>
      <c r="C258" s="6" t="s">
        <v>32</v>
      </c>
      <c r="D258" s="7" t="s">
        <v>35</v>
      </c>
      <c r="E258" s="7">
        <v>202511005</v>
      </c>
      <c r="F258" s="7">
        <v>105</v>
      </c>
      <c r="G258" s="7">
        <v>99.8</v>
      </c>
      <c r="H258" s="8">
        <v>19</v>
      </c>
      <c r="I258" s="7">
        <v>14.35</v>
      </c>
      <c r="J258" s="7">
        <f>VLOOKUP(D258, [1]設備資料!$A:$E, 5, 0)</f>
        <v>5</v>
      </c>
      <c r="K258" s="7">
        <f>IF(I258="", 0, IF(OR(I258=0, AND(J258=2, I258&gt;6.6), AND(J258=3, I258&gt;8.6), AND(J258=5, I258&gt;14.1)), 1, 0))</f>
        <v>1</v>
      </c>
      <c r="M258" s="8">
        <v>44.9</v>
      </c>
      <c r="N258" s="7"/>
      <c r="O258" s="9"/>
    </row>
    <row r="259" spans="1:15">
      <c r="A259" s="5">
        <v>46066</v>
      </c>
      <c r="B259" s="6">
        <v>0.3611111111111111</v>
      </c>
      <c r="C259" s="6" t="s">
        <v>32</v>
      </c>
      <c r="D259" s="7" t="s">
        <v>36</v>
      </c>
      <c r="E259" s="7" t="s">
        <v>37</v>
      </c>
      <c r="F259" s="7">
        <v>105.7</v>
      </c>
      <c r="G259" s="7">
        <v>100</v>
      </c>
      <c r="H259" s="8">
        <v>19</v>
      </c>
      <c r="I259" s="7">
        <v>14.28</v>
      </c>
      <c r="J259" s="7">
        <f>VLOOKUP(D259, [1]設備資料!$A:$E, 5, 0)</f>
        <v>5</v>
      </c>
      <c r="K259" s="7">
        <f>IF(I259="", 0, IF(OR(I259=0, AND(J259=2, I259&gt;6.6), AND(J259=3, I259&gt;8.6), AND(J259=5, I259&gt;14.1)), 1, 0))</f>
        <v>1</v>
      </c>
      <c r="M259" s="8">
        <v>44.9</v>
      </c>
      <c r="N259" s="7"/>
      <c r="O259" s="9"/>
    </row>
    <row r="260" spans="1:15">
      <c r="A260" s="5">
        <v>46066</v>
      </c>
      <c r="B260" s="6">
        <v>0.4861111111111111</v>
      </c>
      <c r="C260" s="6" t="s">
        <v>32</v>
      </c>
      <c r="D260" s="7" t="s">
        <v>31</v>
      </c>
      <c r="E260" s="7">
        <v>202510024</v>
      </c>
      <c r="F260" s="7">
        <v>76.2</v>
      </c>
      <c r="G260" s="7">
        <v>76.099999999999994</v>
      </c>
      <c r="H260" s="8">
        <v>24</v>
      </c>
      <c r="I260" s="7">
        <v>6.41</v>
      </c>
      <c r="J260" s="7">
        <f>VLOOKUP(D260, [1]設備資料!$A:$E, 5, 0)</f>
        <v>2</v>
      </c>
      <c r="K260" s="7">
        <f>IF(I260="", 0, IF(OR(I260=0, AND(J260=2, I260&gt;6.6), AND(J260=3, I260&gt;8.6), AND(J260=5, I260&gt;14.1)), 1, 0))</f>
        <v>0</v>
      </c>
      <c r="M260" s="8">
        <v>45</v>
      </c>
      <c r="N260" s="7"/>
      <c r="O260" s="9"/>
    </row>
    <row r="261" spans="1:15">
      <c r="A261" s="5">
        <v>46066</v>
      </c>
      <c r="B261" s="6">
        <v>0.4861111111111111</v>
      </c>
      <c r="C261" s="6" t="s">
        <v>32</v>
      </c>
      <c r="D261" s="7" t="s">
        <v>33</v>
      </c>
      <c r="E261" s="7">
        <v>202510026</v>
      </c>
      <c r="F261" s="7">
        <v>79.900000000000006</v>
      </c>
      <c r="H261" s="8">
        <v>24</v>
      </c>
      <c r="I261" s="7">
        <v>6.42</v>
      </c>
      <c r="J261" s="7">
        <f>VLOOKUP(D261, [1]設備資料!$A:$E, 5, 0)</f>
        <v>2</v>
      </c>
      <c r="K261" s="7">
        <f>IF(I261="", 0, IF(OR(I261=0, AND(J261=2, I261&gt;6.6), AND(J261=3, I261&gt;8.6), AND(J261=5, I261&gt;14.1)), 1, 0))</f>
        <v>0</v>
      </c>
      <c r="M261" s="8">
        <v>45</v>
      </c>
      <c r="N261" s="7"/>
      <c r="O261" s="9"/>
    </row>
    <row r="262" spans="1:15">
      <c r="A262" s="5">
        <v>46066</v>
      </c>
      <c r="B262" s="6">
        <v>0.4861111111111111</v>
      </c>
      <c r="C262" s="6" t="s">
        <v>32</v>
      </c>
      <c r="D262" s="7" t="s">
        <v>34</v>
      </c>
      <c r="E262" s="7">
        <v>202511017</v>
      </c>
      <c r="F262" s="7">
        <v>83.1</v>
      </c>
      <c r="G262" s="7">
        <v>82.6</v>
      </c>
      <c r="H262" s="8">
        <v>24</v>
      </c>
      <c r="I262" s="7">
        <v>8.17</v>
      </c>
      <c r="J262" s="7">
        <f>VLOOKUP(D262, [1]設備資料!$A:$E, 5, 0)</f>
        <v>3</v>
      </c>
      <c r="K262" s="7">
        <f>IF(I262="", 0, IF(OR(I262=0, AND(J262=2, I262&gt;6.6), AND(J262=3, I262&gt;8.6), AND(J262=5, I262&gt;14.1)), 1, 0))</f>
        <v>0</v>
      </c>
      <c r="M262" s="8">
        <v>45</v>
      </c>
      <c r="N262" s="7"/>
      <c r="O262" s="9"/>
    </row>
    <row r="263" spans="1:15">
      <c r="A263" s="5">
        <v>46066</v>
      </c>
      <c r="B263" s="6">
        <v>0.4861111111111111</v>
      </c>
      <c r="C263" s="6" t="s">
        <v>32</v>
      </c>
      <c r="D263" s="7" t="s">
        <v>35</v>
      </c>
      <c r="E263" s="7">
        <v>202511005</v>
      </c>
      <c r="F263" s="7">
        <v>103.9</v>
      </c>
      <c r="G263" s="7">
        <v>99.3</v>
      </c>
      <c r="H263" s="8">
        <v>24</v>
      </c>
      <c r="I263" s="7">
        <v>14.01</v>
      </c>
      <c r="J263" s="7">
        <f>VLOOKUP(D263, [1]設備資料!$A:$E, 5, 0)</f>
        <v>5</v>
      </c>
      <c r="K263" s="7">
        <f>IF(I263="", 0, IF(OR(I263=0, AND(J263=2, I263&gt;6.6), AND(J263=3, I263&gt;8.6), AND(J263=5, I263&gt;14.1)), 1, 0))</f>
        <v>0</v>
      </c>
      <c r="M263" s="8">
        <v>45</v>
      </c>
      <c r="N263" s="7"/>
      <c r="O263" s="9"/>
    </row>
    <row r="264" spans="1:15">
      <c r="A264" s="5">
        <v>46066</v>
      </c>
      <c r="B264" s="6">
        <v>0.4861111111111111</v>
      </c>
      <c r="C264" s="6" t="s">
        <v>32</v>
      </c>
      <c r="D264" s="7" t="s">
        <v>36</v>
      </c>
      <c r="E264" s="7" t="s">
        <v>37</v>
      </c>
      <c r="F264" s="7">
        <v>104.3</v>
      </c>
      <c r="G264" s="7">
        <v>99.2</v>
      </c>
      <c r="H264" s="8">
        <v>24</v>
      </c>
      <c r="I264" s="7">
        <v>14.16</v>
      </c>
      <c r="J264" s="7">
        <f>VLOOKUP(D264, [1]設備資料!$A:$E, 5, 0)</f>
        <v>5</v>
      </c>
      <c r="K264" s="7">
        <f>IF(I264="", 0, IF(OR(I264=0, AND(J264=2, I264&gt;6.6), AND(J264=3, I264&gt;8.6), AND(J264=5, I264&gt;14.1)), 1, 0))</f>
        <v>1</v>
      </c>
      <c r="M264" s="8">
        <v>45</v>
      </c>
      <c r="N264" s="7"/>
      <c r="O264" s="9"/>
    </row>
    <row r="265" spans="1:15">
      <c r="A265" s="5">
        <v>46066</v>
      </c>
      <c r="B265" s="6">
        <v>0.5</v>
      </c>
      <c r="C265" s="6" t="s">
        <v>19</v>
      </c>
      <c r="D265" s="7" t="s">
        <v>16</v>
      </c>
      <c r="E265" s="7">
        <v>202510001</v>
      </c>
      <c r="F265" s="7">
        <v>76.400000000000006</v>
      </c>
      <c r="G265" s="7">
        <v>75.900000000000006</v>
      </c>
      <c r="H265" s="8">
        <v>24</v>
      </c>
      <c r="I265" s="7">
        <v>6.63</v>
      </c>
      <c r="J265" s="7">
        <f>VLOOKUP(D265, [1]設備資料!$A:$E, 5, 0)</f>
        <v>2</v>
      </c>
      <c r="K265" s="7">
        <f>IF(I265="", 0, IF(OR(I265=0, AND(J265=2, I265&gt;6.6), AND(J265=3, I265&gt;8.6), AND(J265=5, I265&gt;14.1)), 1, 0))</f>
        <v>1</v>
      </c>
      <c r="L265" s="8">
        <v>45.9</v>
      </c>
      <c r="N265" s="7"/>
      <c r="O265" s="9"/>
    </row>
    <row r="266" spans="1:15">
      <c r="A266" s="5">
        <v>46066</v>
      </c>
      <c r="B266" s="6">
        <v>0.5</v>
      </c>
      <c r="C266" s="6" t="s">
        <v>19</v>
      </c>
      <c r="D266" s="7" t="s">
        <v>20</v>
      </c>
      <c r="E266" s="7">
        <v>202510006</v>
      </c>
      <c r="F266" s="7">
        <v>72.5</v>
      </c>
      <c r="H266" s="8">
        <v>24</v>
      </c>
      <c r="I266" s="7">
        <v>6.18</v>
      </c>
      <c r="J266" s="7">
        <f>VLOOKUP(D266, [1]設備資料!$A:$E, 5, 0)</f>
        <v>2</v>
      </c>
      <c r="K266" s="7">
        <f>IF(I266="", 0, IF(OR(I266=0, AND(J266=2, I266&gt;6.6), AND(J266=3, I266&gt;8.6), AND(J266=5, I266&gt;14.1)), 1, 0))</f>
        <v>0</v>
      </c>
      <c r="L266" s="8">
        <v>45.9</v>
      </c>
      <c r="N266" s="7"/>
      <c r="O266" s="9"/>
    </row>
    <row r="267" spans="1:15">
      <c r="A267" s="5">
        <v>46066</v>
      </c>
      <c r="B267" s="6">
        <v>0.5</v>
      </c>
      <c r="C267" s="6" t="s">
        <v>19</v>
      </c>
      <c r="D267" s="7" t="s">
        <v>23</v>
      </c>
      <c r="E267" s="7">
        <v>202511011</v>
      </c>
      <c r="F267" s="7">
        <v>82.2</v>
      </c>
      <c r="G267" s="7">
        <v>83.2</v>
      </c>
      <c r="H267" s="8">
        <v>24</v>
      </c>
      <c r="I267" s="7">
        <v>8.26</v>
      </c>
      <c r="J267" s="7">
        <f>VLOOKUP(D267, [1]設備資料!$A:$E, 5, 0)</f>
        <v>3</v>
      </c>
      <c r="K267" s="7">
        <f>IF(I267="", 0, IF(OR(I267=0, AND(J267=2, I267&gt;6.6), AND(J267=3, I267&gt;8.6), AND(J267=5, I267&gt;14.1)), 1, 0))</f>
        <v>0</v>
      </c>
      <c r="L267" s="8">
        <v>45.9</v>
      </c>
      <c r="N267" s="7"/>
      <c r="O267" s="9"/>
    </row>
    <row r="268" spans="1:15">
      <c r="A268" s="5">
        <v>46066</v>
      </c>
      <c r="B268" s="6">
        <v>0.5</v>
      </c>
      <c r="C268" s="6" t="s">
        <v>19</v>
      </c>
      <c r="D268" s="7" t="s">
        <v>24</v>
      </c>
      <c r="E268" s="7">
        <v>202511012</v>
      </c>
      <c r="F268" s="7">
        <v>81.8</v>
      </c>
      <c r="H268" s="8">
        <v>24</v>
      </c>
      <c r="I268" s="7">
        <v>8.14</v>
      </c>
      <c r="J268" s="7">
        <f>VLOOKUP(D268, [1]設備資料!$A:$E, 5, 0)</f>
        <v>3</v>
      </c>
      <c r="K268" s="7">
        <f>IF(I268="", 0, IF(OR(I268=0, AND(J268=2, I268&gt;6.6), AND(J268=3, I268&gt;8.6), AND(J268=5, I268&gt;14.1)), 1, 0))</f>
        <v>0</v>
      </c>
      <c r="L268" s="8">
        <v>45.9</v>
      </c>
      <c r="N268" s="7"/>
      <c r="O268" s="9"/>
    </row>
    <row r="269" spans="1:15">
      <c r="A269" s="5">
        <v>46066</v>
      </c>
      <c r="B269" s="6">
        <v>0.5</v>
      </c>
      <c r="C269" s="6" t="s">
        <v>19</v>
      </c>
      <c r="D269" s="7" t="s">
        <v>25</v>
      </c>
      <c r="E269" s="7">
        <v>202511001</v>
      </c>
      <c r="F269" s="7">
        <v>104.4</v>
      </c>
      <c r="G269" s="7">
        <v>103.6</v>
      </c>
      <c r="H269" s="8">
        <v>24</v>
      </c>
      <c r="I269" s="7">
        <v>14.07</v>
      </c>
      <c r="J269" s="7">
        <f>VLOOKUP(D269, [1]設備資料!$A:$E, 5, 0)</f>
        <v>5</v>
      </c>
      <c r="K269" s="7">
        <f>IF(I269="", 0, IF(OR(I269=0, AND(J269=2, I269&gt;6.6), AND(J269=3, I269&gt;8.6), AND(J269=5, I269&gt;14.1)), 1, 0))</f>
        <v>0</v>
      </c>
      <c r="L269" s="8">
        <v>45.9</v>
      </c>
      <c r="N269" s="7"/>
      <c r="O269" s="9"/>
    </row>
    <row r="270" spans="1:15">
      <c r="A270" s="5">
        <v>46066</v>
      </c>
      <c r="B270" s="6">
        <v>0.5</v>
      </c>
      <c r="C270" s="6" t="s">
        <v>19</v>
      </c>
      <c r="D270" s="7" t="s">
        <v>26</v>
      </c>
      <c r="E270" s="7">
        <v>202511002</v>
      </c>
      <c r="F270" s="7">
        <v>100</v>
      </c>
      <c r="G270" s="7">
        <v>98.7</v>
      </c>
      <c r="H270" s="8">
        <v>24</v>
      </c>
      <c r="I270" s="7">
        <v>14.15</v>
      </c>
      <c r="J270" s="7">
        <f>VLOOKUP(D270, [1]設備資料!$A:$E, 5, 0)</f>
        <v>5</v>
      </c>
      <c r="K270" s="7">
        <f>IF(I270="", 0, IF(OR(I270=0, AND(J270=2, I270&gt;6.6), AND(J270=3, I270&gt;8.6), AND(J270=5, I270&gt;14.1)), 1, 0))</f>
        <v>1</v>
      </c>
      <c r="L270" s="8">
        <v>45.9</v>
      </c>
      <c r="N270" s="7"/>
      <c r="O270" s="9"/>
    </row>
    <row r="271" spans="1:15">
      <c r="A271" s="5"/>
      <c r="B271" s="6"/>
      <c r="C271" s="6"/>
      <c r="D271" s="7"/>
      <c r="J271" s="7" t="e">
        <f>VLOOKUP(D271, [1]設備資料!$A:$E, 5, 0)</f>
        <v>#N/A</v>
      </c>
      <c r="K271" s="14">
        <f>IF(I271="", 0, IF(OR(I271=0, AND(J271=2, I271&gt;6.6), AND(J271=3, I271&gt;8.6), AND(J271=5, I271&gt;14.1)), 1, 0))</f>
        <v>0</v>
      </c>
      <c r="N271" s="7"/>
      <c r="O271" s="9"/>
    </row>
  </sheetData>
  <phoneticPr fontId="2" type="noConversion"/>
  <conditionalFormatting sqref="K2:K271">
    <cfRule type="expression" dxfId="1" priority="2">
      <formula>$K2=1</formula>
    </cfRule>
  </conditionalFormatting>
  <dataValidations count="1">
    <dataValidation type="date" allowBlank="1" showInputMessage="1" showErrorMessage="1" sqref="A2:A271" xr:uid="{AC4218E0-CEA5-463B-94F4-C629B22734B3}">
      <formula1>46057</formula1>
      <formula2>46207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D957-C163-4E2B-9FC1-777A4A1C98C4}">
  <dimension ref="A1:M133"/>
  <sheetViews>
    <sheetView topLeftCell="A4" workbookViewId="0">
      <selection activeCell="B7" sqref="B7"/>
    </sheetView>
  </sheetViews>
  <sheetFormatPr defaultRowHeight="17"/>
  <cols>
    <col min="1" max="1" width="15.90625" customWidth="1"/>
    <col min="2" max="2" width="11.7265625" customWidth="1"/>
    <col min="3" max="3" width="14.1796875" customWidth="1"/>
    <col min="4" max="4" width="14.6328125" customWidth="1"/>
    <col min="5" max="5" width="16.1796875" customWidth="1"/>
    <col min="6" max="6" width="15.7265625" customWidth="1"/>
    <col min="7" max="7" width="19.453125" customWidth="1"/>
    <col min="8" max="8" width="14.26953125" customWidth="1"/>
    <col min="9" max="9" width="16.81640625" customWidth="1"/>
    <col min="10" max="10" width="0" hidden="1" customWidth="1"/>
    <col min="11" max="11" width="16.81640625" customWidth="1"/>
    <col min="12" max="13" width="14.26953125" customWidth="1"/>
  </cols>
  <sheetData>
    <row r="1" spans="1:1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5" t="s">
        <v>10</v>
      </c>
      <c r="L1" s="26" t="s">
        <v>11</v>
      </c>
      <c r="M1" s="26" t="s">
        <v>12</v>
      </c>
    </row>
    <row r="2" spans="1:13">
      <c r="A2" s="15">
        <v>46077</v>
      </c>
      <c r="B2" s="16">
        <v>0.39583333333333331</v>
      </c>
      <c r="C2" s="16" t="s">
        <v>19</v>
      </c>
      <c r="D2" s="17" t="s">
        <v>16</v>
      </c>
      <c r="E2" s="17">
        <v>202510001</v>
      </c>
      <c r="F2" s="17">
        <v>21.2</v>
      </c>
      <c r="G2" s="17">
        <v>21.2</v>
      </c>
      <c r="H2" s="18">
        <v>23</v>
      </c>
      <c r="I2" s="17">
        <v>6.56</v>
      </c>
      <c r="J2" s="17">
        <f>VLOOKUP(D2, [1]設備資料!$A:$E, 5, 0)</f>
        <v>2</v>
      </c>
      <c r="K2" s="17">
        <f>IF(I2="", 0, IF(OR(I2=0, AND(J2=2, I2&gt;6.6), AND(J2=3, I2&gt;8.6), AND(J2=5, I2&gt;14.1)), 1, 0))</f>
        <v>0</v>
      </c>
      <c r="L2" s="18">
        <v>21.2</v>
      </c>
      <c r="M2" s="18"/>
    </row>
    <row r="3" spans="1:13">
      <c r="A3" s="5">
        <v>46077</v>
      </c>
      <c r="B3" s="6">
        <v>0.39583333333333331</v>
      </c>
      <c r="C3" s="6" t="s">
        <v>19</v>
      </c>
      <c r="D3" s="7" t="s">
        <v>20</v>
      </c>
      <c r="E3" s="7">
        <v>202510006</v>
      </c>
      <c r="F3" s="7">
        <v>21.2</v>
      </c>
      <c r="G3" s="7"/>
      <c r="H3" s="8">
        <v>23</v>
      </c>
      <c r="I3" s="7">
        <v>6.53</v>
      </c>
      <c r="J3" s="7">
        <f>VLOOKUP(D3, [1]設備資料!$A:$E, 5, 0)</f>
        <v>2</v>
      </c>
      <c r="K3" s="7">
        <f>IF(I3="", 0, IF(OR(I3=0, AND(J3=2, I3&gt;6.6), AND(J3=3, I3&gt;8.6), AND(J3=5, I3&gt;14.1)), 1, 0))</f>
        <v>0</v>
      </c>
      <c r="L3" s="8">
        <v>21.2</v>
      </c>
      <c r="M3" s="8"/>
    </row>
    <row r="4" spans="1:13">
      <c r="A4" s="15">
        <v>46077</v>
      </c>
      <c r="B4" s="16">
        <v>0.39583333333333331</v>
      </c>
      <c r="C4" s="16" t="s">
        <v>19</v>
      </c>
      <c r="D4" s="17" t="s">
        <v>23</v>
      </c>
      <c r="E4" s="17">
        <v>202511011</v>
      </c>
      <c r="F4" s="17">
        <v>21.2</v>
      </c>
      <c r="G4" s="17">
        <v>21.2</v>
      </c>
      <c r="H4" s="18">
        <v>23</v>
      </c>
      <c r="I4" s="17">
        <v>8.36</v>
      </c>
      <c r="J4" s="17">
        <f>VLOOKUP(D4, [1]設備資料!$A:$E, 5, 0)</f>
        <v>3</v>
      </c>
      <c r="K4" s="17">
        <f>IF(I4="", 0, IF(OR(I4=0, AND(J4=2, I4&gt;6.6), AND(J4=3, I4&gt;8.6), AND(J4=5, I4&gt;14.1)), 1, 0))</f>
        <v>0</v>
      </c>
      <c r="L4" s="18">
        <v>21.2</v>
      </c>
      <c r="M4" s="18"/>
    </row>
    <row r="5" spans="1:13">
      <c r="A5" s="5">
        <v>46077</v>
      </c>
      <c r="B5" s="6">
        <v>0.39583333333333331</v>
      </c>
      <c r="C5" s="6" t="s">
        <v>19</v>
      </c>
      <c r="D5" s="7" t="s">
        <v>24</v>
      </c>
      <c r="E5" s="7">
        <v>202511012</v>
      </c>
      <c r="F5" s="7">
        <v>21.2</v>
      </c>
      <c r="G5" s="7"/>
      <c r="H5" s="8">
        <v>23</v>
      </c>
      <c r="I5" s="7">
        <v>8.4700000000000006</v>
      </c>
      <c r="J5" s="7">
        <f>VLOOKUP(D5, [1]設備資料!$A:$E, 5, 0)</f>
        <v>3</v>
      </c>
      <c r="K5" s="7">
        <f>IF(I5="", 0, IF(OR(I5=0, AND(J5=2, I5&gt;6.6), AND(J5=3, I5&gt;8.6), AND(J5=5, I5&gt;14.1)), 1, 0))</f>
        <v>0</v>
      </c>
      <c r="L5" s="8">
        <v>21.2</v>
      </c>
      <c r="M5" s="8"/>
    </row>
    <row r="6" spans="1:13">
      <c r="A6" s="15">
        <v>46077</v>
      </c>
      <c r="B6" s="16">
        <v>0.39583333333333331</v>
      </c>
      <c r="C6" s="16" t="s">
        <v>19</v>
      </c>
      <c r="D6" s="17" t="s">
        <v>25</v>
      </c>
      <c r="E6" s="17">
        <v>202511001</v>
      </c>
      <c r="F6" s="17">
        <v>21.2</v>
      </c>
      <c r="G6" s="17">
        <v>21.2</v>
      </c>
      <c r="H6" s="18">
        <v>23</v>
      </c>
      <c r="I6" s="17">
        <v>14.03</v>
      </c>
      <c r="J6" s="17">
        <f>VLOOKUP(D6, [1]設備資料!$A:$E, 5, 0)</f>
        <v>5</v>
      </c>
      <c r="K6" s="17">
        <f>IF(I6="", 0, IF(OR(I6=0, AND(J6=2, I6&gt;6.6), AND(J6=3, I6&gt;8.6), AND(J6=5, I6&gt;14.1)), 1, 0))</f>
        <v>0</v>
      </c>
      <c r="L6" s="18">
        <v>21.2</v>
      </c>
      <c r="M6" s="18"/>
    </row>
    <row r="7" spans="1:13">
      <c r="A7" s="5">
        <v>46077</v>
      </c>
      <c r="B7" s="6">
        <v>0.39583333333333331</v>
      </c>
      <c r="C7" s="6" t="s">
        <v>19</v>
      </c>
      <c r="D7" s="7" t="s">
        <v>26</v>
      </c>
      <c r="E7" s="7">
        <v>202511002</v>
      </c>
      <c r="F7" s="7">
        <v>21.2</v>
      </c>
      <c r="G7" s="7">
        <v>21.2</v>
      </c>
      <c r="H7" s="8">
        <v>23</v>
      </c>
      <c r="I7" s="7">
        <v>13.87</v>
      </c>
      <c r="J7" s="7">
        <f>VLOOKUP(D7, [1]設備資料!$A:$E, 5, 0)</f>
        <v>5</v>
      </c>
      <c r="K7" s="7">
        <f>IF(I7="", 0, IF(OR(I7=0, AND(J7=2, I7&gt;6.6), AND(J7=3, I7&gt;8.6), AND(J7=5, I7&gt;14.1)), 1, 0))</f>
        <v>0</v>
      </c>
      <c r="L7" s="8">
        <v>21.2</v>
      </c>
      <c r="M7" s="8"/>
    </row>
    <row r="8" spans="1:13">
      <c r="A8" s="15">
        <v>46077</v>
      </c>
      <c r="B8" s="16">
        <v>0.40277777777777779</v>
      </c>
      <c r="C8" s="16" t="s">
        <v>32</v>
      </c>
      <c r="D8" s="17" t="s">
        <v>31</v>
      </c>
      <c r="E8" s="17">
        <v>202510024</v>
      </c>
      <c r="F8" s="17">
        <v>21.2</v>
      </c>
      <c r="G8" s="17">
        <v>21.2</v>
      </c>
      <c r="H8" s="18">
        <v>23</v>
      </c>
      <c r="I8" s="17">
        <v>6.37</v>
      </c>
      <c r="J8" s="17">
        <f>VLOOKUP(D8, [1]設備資料!$A:$E, 5, 0)</f>
        <v>2</v>
      </c>
      <c r="K8" s="17">
        <f>IF(I8="", 0, IF(OR(I8=0, AND(J8=2, I8&gt;6.6), AND(J8=3, I8&gt;8.6), AND(J8=5, I8&gt;14.1)), 1, 0))</f>
        <v>0</v>
      </c>
      <c r="L8" s="18"/>
      <c r="M8" s="18">
        <v>21</v>
      </c>
    </row>
    <row r="9" spans="1:13">
      <c r="A9" s="5">
        <v>46077</v>
      </c>
      <c r="B9" s="6">
        <v>0.40277777777777779</v>
      </c>
      <c r="C9" s="6" t="s">
        <v>32</v>
      </c>
      <c r="D9" s="7" t="s">
        <v>33</v>
      </c>
      <c r="E9" s="7">
        <v>202510026</v>
      </c>
      <c r="F9" s="7">
        <v>21.2</v>
      </c>
      <c r="G9" s="7"/>
      <c r="H9" s="8">
        <v>23</v>
      </c>
      <c r="I9" s="7">
        <v>6.42</v>
      </c>
      <c r="J9" s="7">
        <f>VLOOKUP(D9, [1]設備資料!$A:$E, 5, 0)</f>
        <v>2</v>
      </c>
      <c r="K9" s="7">
        <f>IF(I9="", 0, IF(OR(I9=0, AND(J9=2, I9&gt;6.6), AND(J9=3, I9&gt;8.6), AND(J9=5, I9&gt;14.1)), 1, 0))</f>
        <v>0</v>
      </c>
      <c r="L9" s="8"/>
      <c r="M9" s="8">
        <v>21</v>
      </c>
    </row>
    <row r="10" spans="1:13">
      <c r="A10" s="15">
        <v>46077</v>
      </c>
      <c r="B10" s="16">
        <v>0.40277777777777779</v>
      </c>
      <c r="C10" s="16" t="s">
        <v>32</v>
      </c>
      <c r="D10" s="17" t="s">
        <v>34</v>
      </c>
      <c r="E10" s="17">
        <v>202511017</v>
      </c>
      <c r="F10" s="17">
        <v>21.2</v>
      </c>
      <c r="G10" s="17">
        <v>21.2</v>
      </c>
      <c r="H10" s="18">
        <v>23</v>
      </c>
      <c r="I10" s="17">
        <v>8.24</v>
      </c>
      <c r="J10" s="17">
        <f>VLOOKUP(D10, [1]設備資料!$A:$E, 5, 0)</f>
        <v>3</v>
      </c>
      <c r="K10" s="17">
        <f>IF(I10="", 0, IF(OR(I10=0, AND(J10=2, I10&gt;6.6), AND(J10=3, I10&gt;8.6), AND(J10=5, I10&gt;14.1)), 1, 0))</f>
        <v>0</v>
      </c>
      <c r="L10" s="18"/>
      <c r="M10" s="18">
        <v>21</v>
      </c>
    </row>
    <row r="11" spans="1:13">
      <c r="A11" s="5">
        <v>46077</v>
      </c>
      <c r="B11" s="6">
        <v>0.40277777777777779</v>
      </c>
      <c r="C11" s="6" t="s">
        <v>32</v>
      </c>
      <c r="D11" s="7" t="s">
        <v>35</v>
      </c>
      <c r="E11" s="7">
        <v>202511005</v>
      </c>
      <c r="F11" s="7">
        <v>21.2</v>
      </c>
      <c r="G11" s="7">
        <v>21.2</v>
      </c>
      <c r="H11" s="8">
        <v>23</v>
      </c>
      <c r="I11" s="7">
        <v>14.05</v>
      </c>
      <c r="J11" s="7">
        <f>VLOOKUP(D11, [1]設備資料!$A:$E, 5, 0)</f>
        <v>5</v>
      </c>
      <c r="K11" s="7">
        <f>IF(I11="", 0, IF(OR(I11=0, AND(J11=2, I11&gt;6.6), AND(J11=3, I11&gt;8.6), AND(J11=5, I11&gt;14.1)), 1, 0))</f>
        <v>0</v>
      </c>
      <c r="L11" s="8"/>
      <c r="M11" s="8">
        <v>21</v>
      </c>
    </row>
    <row r="12" spans="1:13">
      <c r="A12" s="15">
        <v>46077</v>
      </c>
      <c r="B12" s="16">
        <v>0.40277777777777779</v>
      </c>
      <c r="C12" s="16" t="s">
        <v>32</v>
      </c>
      <c r="D12" s="17" t="s">
        <v>36</v>
      </c>
      <c r="E12" s="17" t="s">
        <v>37</v>
      </c>
      <c r="F12" s="17">
        <v>21.2</v>
      </c>
      <c r="G12" s="17">
        <v>21.2</v>
      </c>
      <c r="H12" s="18">
        <v>23</v>
      </c>
      <c r="I12" s="17">
        <v>14.08</v>
      </c>
      <c r="J12" s="17">
        <f>VLOOKUP(D12, [1]設備資料!$A:$E, 5, 0)</f>
        <v>5</v>
      </c>
      <c r="K12" s="17">
        <f>IF(I12="", 0, IF(OR(I12=0, AND(J12=2, I12&gt;6.6), AND(J12=3, I12&gt;8.6), AND(J12=5, I12&gt;14.1)), 1, 0))</f>
        <v>0</v>
      </c>
      <c r="L12" s="18"/>
      <c r="M12" s="18">
        <v>21</v>
      </c>
    </row>
    <row r="13" spans="1:13">
      <c r="A13" s="5">
        <v>46077</v>
      </c>
      <c r="B13" s="6">
        <v>0.6875</v>
      </c>
      <c r="C13" s="6" t="s">
        <v>19</v>
      </c>
      <c r="D13" s="7" t="s">
        <v>16</v>
      </c>
      <c r="E13" s="7">
        <v>202510001</v>
      </c>
      <c r="F13" s="7">
        <v>63.1</v>
      </c>
      <c r="G13" s="7">
        <v>62.6</v>
      </c>
      <c r="H13" s="8">
        <v>24</v>
      </c>
      <c r="I13" s="7">
        <v>6.13</v>
      </c>
      <c r="J13" s="7">
        <f>VLOOKUP(D13, [1]設備資料!$A:$E, 5, 0)</f>
        <v>2</v>
      </c>
      <c r="K13" s="7">
        <f>IF(I13="", 0, IF(OR(I13=0, AND(J13=2, I13&gt;6.6), AND(J13=3, I13&gt;8.6), AND(J13=5, I13&gt;14.1)), 1, 0))</f>
        <v>0</v>
      </c>
      <c r="L13" s="8">
        <v>33.6</v>
      </c>
      <c r="M13" s="8"/>
    </row>
    <row r="14" spans="1:13">
      <c r="A14" s="15">
        <v>46077</v>
      </c>
      <c r="B14" s="16">
        <v>0.6875</v>
      </c>
      <c r="C14" s="16" t="s">
        <v>19</v>
      </c>
      <c r="D14" s="17" t="s">
        <v>20</v>
      </c>
      <c r="E14" s="17">
        <v>202510006</v>
      </c>
      <c r="F14" s="17">
        <v>58.4</v>
      </c>
      <c r="G14" s="17"/>
      <c r="H14" s="18">
        <v>24</v>
      </c>
      <c r="I14" s="17">
        <v>6.03</v>
      </c>
      <c r="J14" s="17">
        <f>VLOOKUP(D14, [1]設備資料!$A:$E, 5, 0)</f>
        <v>2</v>
      </c>
      <c r="K14" s="17">
        <f>IF(I14="", 0, IF(OR(I14=0, AND(J14=2, I14&gt;6.6), AND(J14=3, I14&gt;8.6), AND(J14=5, I14&gt;14.1)), 1, 0))</f>
        <v>0</v>
      </c>
      <c r="L14" s="18">
        <v>33.6</v>
      </c>
      <c r="M14" s="18"/>
    </row>
    <row r="15" spans="1:13">
      <c r="A15" s="5">
        <v>46077</v>
      </c>
      <c r="B15" s="6">
        <v>0.6875</v>
      </c>
      <c r="C15" s="6" t="s">
        <v>19</v>
      </c>
      <c r="D15" s="7" t="s">
        <v>23</v>
      </c>
      <c r="E15" s="7">
        <v>202511011</v>
      </c>
      <c r="F15" s="7">
        <v>68.7</v>
      </c>
      <c r="G15" s="7">
        <v>69.8</v>
      </c>
      <c r="H15" s="8">
        <v>24</v>
      </c>
      <c r="I15" s="7">
        <v>8.06</v>
      </c>
      <c r="J15" s="7">
        <f>VLOOKUP(D15, [1]設備資料!$A:$E, 5, 0)</f>
        <v>3</v>
      </c>
      <c r="K15" s="7">
        <f>IF(I15="", 0, IF(OR(I15=0, AND(J15=2, I15&gt;6.6), AND(J15=3, I15&gt;8.6), AND(J15=5, I15&gt;14.1)), 1, 0))</f>
        <v>0</v>
      </c>
      <c r="L15" s="8">
        <v>33.6</v>
      </c>
      <c r="M15" s="8"/>
    </row>
    <row r="16" spans="1:13">
      <c r="A16" s="15">
        <v>46077</v>
      </c>
      <c r="B16" s="16">
        <v>0.6875</v>
      </c>
      <c r="C16" s="16" t="s">
        <v>19</v>
      </c>
      <c r="D16" s="17" t="s">
        <v>24</v>
      </c>
      <c r="E16" s="17">
        <v>202511012</v>
      </c>
      <c r="F16" s="17">
        <v>68.599999999999994</v>
      </c>
      <c r="G16" s="17"/>
      <c r="H16" s="18">
        <v>24</v>
      </c>
      <c r="I16" s="17">
        <v>7.78</v>
      </c>
      <c r="J16" s="17">
        <f>VLOOKUP(D16, [1]設備資料!$A:$E, 5, 0)</f>
        <v>3</v>
      </c>
      <c r="K16" s="17">
        <f>IF(I16="", 0, IF(OR(I16=0, AND(J16=2, I16&gt;6.6), AND(J16=3, I16&gt;8.6), AND(J16=5, I16&gt;14.1)), 1, 0))</f>
        <v>0</v>
      </c>
      <c r="L16" s="18">
        <v>33.6</v>
      </c>
      <c r="M16" s="18"/>
    </row>
    <row r="17" spans="1:13">
      <c r="A17" s="5">
        <v>46077</v>
      </c>
      <c r="B17" s="6">
        <v>0.6875</v>
      </c>
      <c r="C17" s="6" t="s">
        <v>19</v>
      </c>
      <c r="D17" s="7" t="s">
        <v>25</v>
      </c>
      <c r="E17" s="7">
        <v>202511001</v>
      </c>
      <c r="F17" s="7">
        <v>90.6</v>
      </c>
      <c r="G17" s="7">
        <v>91.5</v>
      </c>
      <c r="H17" s="8">
        <v>24</v>
      </c>
      <c r="I17" s="7">
        <v>13.62</v>
      </c>
      <c r="J17" s="7">
        <f>VLOOKUP(D17, [1]設備資料!$A:$E, 5, 0)</f>
        <v>5</v>
      </c>
      <c r="K17" s="7">
        <f>IF(I17="", 0, IF(OR(I17=0, AND(J17=2, I17&gt;6.6), AND(J17=3, I17&gt;8.6), AND(J17=5, I17&gt;14.1)), 1, 0))</f>
        <v>0</v>
      </c>
      <c r="L17" s="8">
        <v>33.6</v>
      </c>
      <c r="M17" s="8"/>
    </row>
    <row r="18" spans="1:13">
      <c r="A18" s="15">
        <v>46077</v>
      </c>
      <c r="B18" s="16">
        <v>0.6875</v>
      </c>
      <c r="C18" s="16" t="s">
        <v>19</v>
      </c>
      <c r="D18" s="17" t="s">
        <v>26</v>
      </c>
      <c r="E18" s="17">
        <v>202511002</v>
      </c>
      <c r="F18" s="17">
        <v>86.8</v>
      </c>
      <c r="G18" s="17">
        <v>85.6</v>
      </c>
      <c r="H18" s="18">
        <v>24</v>
      </c>
      <c r="I18" s="17">
        <v>13.34</v>
      </c>
      <c r="J18" s="17">
        <f>VLOOKUP(D18, [1]設備資料!$A:$E, 5, 0)</f>
        <v>5</v>
      </c>
      <c r="K18" s="17">
        <f>IF(I18="", 0, IF(OR(I18=0, AND(J18=2, I18&gt;6.6), AND(J18=3, I18&gt;8.6), AND(J18=5, I18&gt;14.1)), 1, 0))</f>
        <v>0</v>
      </c>
      <c r="L18" s="18">
        <v>33.6</v>
      </c>
      <c r="M18" s="18"/>
    </row>
    <row r="19" spans="1:13">
      <c r="A19" s="5">
        <v>46077</v>
      </c>
      <c r="B19" s="6">
        <v>0.69444444444444442</v>
      </c>
      <c r="C19" s="6" t="s">
        <v>32</v>
      </c>
      <c r="D19" s="7" t="s">
        <v>31</v>
      </c>
      <c r="E19" s="7">
        <v>202510024</v>
      </c>
      <c r="F19" s="7">
        <v>62.5</v>
      </c>
      <c r="G19" s="7">
        <v>62.3</v>
      </c>
      <c r="H19" s="8">
        <v>24</v>
      </c>
      <c r="I19" s="7">
        <v>6.17</v>
      </c>
      <c r="J19" s="7">
        <f>VLOOKUP(D19, [1]設備資料!$A:$E, 5, 0)</f>
        <v>2</v>
      </c>
      <c r="K19" s="7">
        <f>IF(I19="", 0, IF(OR(I19=0, AND(J19=2, I19&gt;6.6), AND(J19=3, I19&gt;8.6), AND(J19=5, I19&gt;14.1)), 1, 0))</f>
        <v>0</v>
      </c>
      <c r="L19" s="8"/>
      <c r="M19" s="8">
        <v>33.200000000000003</v>
      </c>
    </row>
    <row r="20" spans="1:13">
      <c r="A20" s="15">
        <v>46077</v>
      </c>
      <c r="B20" s="16">
        <v>0.69444444444444442</v>
      </c>
      <c r="C20" s="16" t="s">
        <v>32</v>
      </c>
      <c r="D20" s="17" t="s">
        <v>33</v>
      </c>
      <c r="E20" s="17">
        <v>202510026</v>
      </c>
      <c r="F20" s="17">
        <v>65.8</v>
      </c>
      <c r="G20" s="17"/>
      <c r="H20" s="18">
        <v>24</v>
      </c>
      <c r="I20" s="17">
        <v>6.47</v>
      </c>
      <c r="J20" s="17">
        <f>VLOOKUP(D20, [1]設備資料!$A:$E, 5, 0)</f>
        <v>2</v>
      </c>
      <c r="K20" s="17">
        <f>IF(I20="", 0, IF(OR(I20=0, AND(J20=2, I20&gt;6.6), AND(J20=3, I20&gt;8.6), AND(J20=5, I20&gt;14.1)), 1, 0))</f>
        <v>0</v>
      </c>
      <c r="L20" s="18"/>
      <c r="M20" s="18">
        <v>33.200000000000003</v>
      </c>
    </row>
    <row r="21" spans="1:13">
      <c r="A21" s="5">
        <v>46077</v>
      </c>
      <c r="B21" s="6">
        <v>0.69444444444444442</v>
      </c>
      <c r="C21" s="6" t="s">
        <v>32</v>
      </c>
      <c r="D21" s="7" t="s">
        <v>34</v>
      </c>
      <c r="E21" s="7">
        <v>202511017</v>
      </c>
      <c r="F21" s="7">
        <v>68.2</v>
      </c>
      <c r="G21" s="7">
        <v>68.5</v>
      </c>
      <c r="H21" s="8">
        <v>24</v>
      </c>
      <c r="I21" s="7">
        <v>7.85</v>
      </c>
      <c r="J21" s="7">
        <f>VLOOKUP(D21, [1]設備資料!$A:$E, 5, 0)</f>
        <v>3</v>
      </c>
      <c r="K21" s="7">
        <f>IF(I21="", 0, IF(OR(I21=0, AND(J21=2, I21&gt;6.6), AND(J21=3, I21&gt;8.6), AND(J21=5, I21&gt;14.1)), 1, 0))</f>
        <v>0</v>
      </c>
      <c r="L21" s="8"/>
      <c r="M21" s="8">
        <v>33.200000000000003</v>
      </c>
    </row>
    <row r="22" spans="1:13">
      <c r="A22" s="15">
        <v>46077</v>
      </c>
      <c r="B22" s="16">
        <v>0.69444444444444442</v>
      </c>
      <c r="C22" s="16" t="s">
        <v>32</v>
      </c>
      <c r="D22" s="17" t="s">
        <v>35</v>
      </c>
      <c r="E22" s="17">
        <v>202511005</v>
      </c>
      <c r="F22" s="17">
        <v>90.3</v>
      </c>
      <c r="G22" s="17">
        <v>89.4</v>
      </c>
      <c r="H22" s="18">
        <v>24</v>
      </c>
      <c r="I22" s="17">
        <v>13.35</v>
      </c>
      <c r="J22" s="17">
        <f>VLOOKUP(D22, [1]設備資料!$A:$E, 5, 0)</f>
        <v>5</v>
      </c>
      <c r="K22" s="17">
        <f>IF(I22="", 0, IF(OR(I22=0, AND(J22=2, I22&gt;6.6), AND(J22=3, I22&gt;8.6), AND(J22=5, I22&gt;14.1)), 1, 0))</f>
        <v>0</v>
      </c>
      <c r="L22" s="18"/>
      <c r="M22" s="18">
        <v>33.200000000000003</v>
      </c>
    </row>
    <row r="23" spans="1:13">
      <c r="A23" s="5">
        <v>46077</v>
      </c>
      <c r="B23" s="6">
        <v>0.69444444444444442</v>
      </c>
      <c r="C23" s="6" t="s">
        <v>32</v>
      </c>
      <c r="D23" s="7" t="s">
        <v>36</v>
      </c>
      <c r="E23" s="7" t="s">
        <v>37</v>
      </c>
      <c r="F23" s="7">
        <v>90.4</v>
      </c>
      <c r="G23" s="7">
        <v>96.1</v>
      </c>
      <c r="H23" s="8">
        <v>24</v>
      </c>
      <c r="I23" s="7">
        <v>13.29</v>
      </c>
      <c r="J23" s="7">
        <f>VLOOKUP(D23, [1]設備資料!$A:$E, 5, 0)</f>
        <v>5</v>
      </c>
      <c r="K23" s="7">
        <f>IF(I23="", 0, IF(OR(I23=0, AND(J23=2, I23&gt;6.6), AND(J23=3, I23&gt;8.6), AND(J23=5, I23&gt;14.1)), 1, 0))</f>
        <v>0</v>
      </c>
      <c r="L23" s="8"/>
      <c r="M23" s="8">
        <v>33.200000000000003</v>
      </c>
    </row>
    <row r="24" spans="1:13">
      <c r="A24" s="15">
        <v>46078</v>
      </c>
      <c r="B24" s="16">
        <v>0.39583333333333331</v>
      </c>
      <c r="C24" s="16" t="s">
        <v>19</v>
      </c>
      <c r="D24" s="17" t="s">
        <v>16</v>
      </c>
      <c r="E24" s="17">
        <v>202510001</v>
      </c>
      <c r="F24" s="17">
        <v>75.099999999999994</v>
      </c>
      <c r="G24" s="17">
        <v>74.5</v>
      </c>
      <c r="H24" s="18">
        <v>25</v>
      </c>
      <c r="I24" s="17">
        <v>6.03</v>
      </c>
      <c r="J24" s="17">
        <f>VLOOKUP(D24, [1]設備資料!$A:$E, 5, 0)</f>
        <v>2</v>
      </c>
      <c r="K24" s="17">
        <f>IF(I24="", 0, IF(OR(I24=0, AND(J24=2, I24&gt;6.6), AND(J24=3, I24&gt;8.6), AND(J24=5, I24&gt;14.1)), 1, 0))</f>
        <v>0</v>
      </c>
      <c r="L24" s="18">
        <v>44.8</v>
      </c>
      <c r="M24" s="18"/>
    </row>
    <row r="25" spans="1:13">
      <c r="A25" s="5">
        <v>46078</v>
      </c>
      <c r="B25" s="6">
        <v>0.39583333333333331</v>
      </c>
      <c r="C25" s="6" t="s">
        <v>19</v>
      </c>
      <c r="D25" s="7" t="s">
        <v>20</v>
      </c>
      <c r="E25" s="7">
        <v>202510006</v>
      </c>
      <c r="F25" s="7">
        <v>71.2</v>
      </c>
      <c r="G25" s="7"/>
      <c r="H25" s="8">
        <v>25</v>
      </c>
      <c r="I25" s="7">
        <v>5.78</v>
      </c>
      <c r="J25" s="7">
        <f>VLOOKUP(D25, [1]設備資料!$A:$E, 5, 0)</f>
        <v>2</v>
      </c>
      <c r="K25" s="7">
        <f>IF(I25="", 0, IF(OR(I25=0, AND(J25=2, I25&gt;6.6), AND(J25=3, I25&gt;8.6), AND(J25=5, I25&gt;14.1)), 1, 0))</f>
        <v>0</v>
      </c>
      <c r="L25" s="8">
        <v>44.8</v>
      </c>
      <c r="M25" s="8"/>
    </row>
    <row r="26" spans="1:13">
      <c r="A26" s="15">
        <v>46078</v>
      </c>
      <c r="B26" s="16">
        <v>0.39583333333333331</v>
      </c>
      <c r="C26" s="16" t="s">
        <v>19</v>
      </c>
      <c r="D26" s="17" t="s">
        <v>23</v>
      </c>
      <c r="E26" s="17">
        <v>202511011</v>
      </c>
      <c r="F26" s="17">
        <v>81.099999999999994</v>
      </c>
      <c r="G26" s="17">
        <v>81.900000000000006</v>
      </c>
      <c r="H26" s="18">
        <v>25</v>
      </c>
      <c r="I26" s="17">
        <v>7.86</v>
      </c>
      <c r="J26" s="17">
        <f>VLOOKUP(D26, [1]設備資料!$A:$E, 5, 0)</f>
        <v>3</v>
      </c>
      <c r="K26" s="17">
        <f>IF(I26="", 0, IF(OR(I26=0, AND(J26=2, I26&gt;6.6), AND(J26=3, I26&gt;8.6), AND(J26=5, I26&gt;14.1)), 1, 0))</f>
        <v>0</v>
      </c>
      <c r="L26" s="18">
        <v>44.8</v>
      </c>
      <c r="M26" s="18"/>
    </row>
    <row r="27" spans="1:13">
      <c r="A27" s="5">
        <v>46078</v>
      </c>
      <c r="B27" s="6">
        <v>0.39583333333333331</v>
      </c>
      <c r="C27" s="6" t="s">
        <v>19</v>
      </c>
      <c r="D27" s="7" t="s">
        <v>24</v>
      </c>
      <c r="E27" s="7">
        <v>202511012</v>
      </c>
      <c r="F27" s="7">
        <v>80.400000000000006</v>
      </c>
      <c r="G27" s="7"/>
      <c r="H27" s="8">
        <v>25</v>
      </c>
      <c r="I27" s="7">
        <v>7.82</v>
      </c>
      <c r="J27" s="7">
        <f>VLOOKUP(D27, [1]設備資料!$A:$E, 5, 0)</f>
        <v>3</v>
      </c>
      <c r="K27" s="7">
        <f>IF(I27="", 0, IF(OR(I27=0, AND(J27=2, I27&gt;6.6), AND(J27=3, I27&gt;8.6), AND(J27=5, I27&gt;14.1)), 1, 0))</f>
        <v>0</v>
      </c>
      <c r="L27" s="8">
        <v>44.8</v>
      </c>
      <c r="M27" s="8"/>
    </row>
    <row r="28" spans="1:13">
      <c r="A28" s="15">
        <v>46078</v>
      </c>
      <c r="B28" s="16">
        <v>0.39583333333333331</v>
      </c>
      <c r="C28" s="16" t="s">
        <v>19</v>
      </c>
      <c r="D28" s="17" t="s">
        <v>25</v>
      </c>
      <c r="E28" s="17">
        <v>202511001</v>
      </c>
      <c r="F28" s="17">
        <v>102.1</v>
      </c>
      <c r="G28" s="17">
        <v>102.3</v>
      </c>
      <c r="H28" s="18">
        <v>25</v>
      </c>
      <c r="I28" s="17">
        <v>13.64</v>
      </c>
      <c r="J28" s="17">
        <f>VLOOKUP(D28, [1]設備資料!$A:$E, 5, 0)</f>
        <v>5</v>
      </c>
      <c r="K28" s="17">
        <f>IF(I28="", 0, IF(OR(I28=0, AND(J28=2, I28&gt;6.6), AND(J28=3, I28&gt;8.6), AND(J28=5, I28&gt;14.1)), 1, 0))</f>
        <v>0</v>
      </c>
      <c r="L28" s="18">
        <v>44.8</v>
      </c>
      <c r="M28" s="18"/>
    </row>
    <row r="29" spans="1:13">
      <c r="A29" s="5">
        <v>46078</v>
      </c>
      <c r="B29" s="6">
        <v>0.39583333333333331</v>
      </c>
      <c r="C29" s="6" t="s">
        <v>19</v>
      </c>
      <c r="D29" s="7" t="s">
        <v>26</v>
      </c>
      <c r="E29" s="7">
        <v>202511002</v>
      </c>
      <c r="F29" s="7">
        <v>98.2</v>
      </c>
      <c r="G29" s="7">
        <v>96.5</v>
      </c>
      <c r="H29" s="8">
        <v>25</v>
      </c>
      <c r="I29" s="7">
        <v>13.32</v>
      </c>
      <c r="J29" s="7">
        <f>VLOOKUP(D29, [1]設備資料!$A:$E, 5, 0)</f>
        <v>5</v>
      </c>
      <c r="K29" s="7">
        <f>IF(I29="", 0, IF(OR(I29=0, AND(J29=2, I29&gt;6.6), AND(J29=3, I29&gt;8.6), AND(J29=5, I29&gt;14.1)), 1, 0))</f>
        <v>0</v>
      </c>
      <c r="L29" s="8">
        <v>44.8</v>
      </c>
      <c r="M29" s="8"/>
    </row>
    <row r="30" spans="1:13">
      <c r="A30" s="15">
        <v>46078</v>
      </c>
      <c r="B30" s="16">
        <v>0.40277777777777779</v>
      </c>
      <c r="C30" s="16" t="s">
        <v>32</v>
      </c>
      <c r="D30" s="17" t="s">
        <v>31</v>
      </c>
      <c r="E30" s="17">
        <v>202510024</v>
      </c>
      <c r="F30" s="17">
        <v>74.5</v>
      </c>
      <c r="G30" s="17">
        <v>74.3</v>
      </c>
      <c r="H30" s="18">
        <v>25</v>
      </c>
      <c r="I30" s="17">
        <v>6.04</v>
      </c>
      <c r="J30" s="17">
        <f>VLOOKUP(D30, [1]設備資料!$A:$E, 5, 0)</f>
        <v>2</v>
      </c>
      <c r="K30" s="17">
        <f>IF(I30="", 0, IF(OR(I30=0, AND(J30=2, I30&gt;6.6), AND(J30=3, I30&gt;8.6), AND(J30=5, I30&gt;14.1)), 1, 0))</f>
        <v>0</v>
      </c>
      <c r="L30" s="18"/>
      <c r="M30" s="18">
        <v>43.8</v>
      </c>
    </row>
    <row r="31" spans="1:13">
      <c r="A31" s="5">
        <v>46078</v>
      </c>
      <c r="B31" s="6">
        <v>0.40277777777777779</v>
      </c>
      <c r="C31" s="6" t="s">
        <v>32</v>
      </c>
      <c r="D31" s="7" t="s">
        <v>33</v>
      </c>
      <c r="E31" s="7">
        <v>202510026</v>
      </c>
      <c r="F31" s="7">
        <v>77.8</v>
      </c>
      <c r="G31" s="7"/>
      <c r="H31" s="8">
        <v>25</v>
      </c>
      <c r="I31" s="7">
        <v>6.08</v>
      </c>
      <c r="J31" s="7">
        <f>VLOOKUP(D31, [1]設備資料!$A:$E, 5, 0)</f>
        <v>2</v>
      </c>
      <c r="K31" s="7">
        <f>IF(I31="", 0, IF(OR(I31=0, AND(J31=2, I31&gt;6.6), AND(J31=3, I31&gt;8.6), AND(J31=5, I31&gt;14.1)), 1, 0))</f>
        <v>0</v>
      </c>
      <c r="L31" s="8"/>
      <c r="M31" s="8">
        <v>43.8</v>
      </c>
    </row>
    <row r="32" spans="1:13">
      <c r="A32" s="15">
        <v>46078</v>
      </c>
      <c r="B32" s="16">
        <v>0.40277777777777779</v>
      </c>
      <c r="C32" s="16" t="s">
        <v>32</v>
      </c>
      <c r="D32" s="17" t="s">
        <v>34</v>
      </c>
      <c r="E32" s="17">
        <v>202511017</v>
      </c>
      <c r="F32" s="17">
        <v>80.2</v>
      </c>
      <c r="G32" s="17">
        <v>80.900000000000006</v>
      </c>
      <c r="H32" s="18">
        <v>25</v>
      </c>
      <c r="I32" s="17">
        <v>7.55</v>
      </c>
      <c r="J32" s="17">
        <f>VLOOKUP(D32, [1]設備資料!$A:$E, 5, 0)</f>
        <v>3</v>
      </c>
      <c r="K32" s="17">
        <f>IF(I32="", 0, IF(OR(I32=0, AND(J32=2, I32&gt;6.6), AND(J32=3, I32&gt;8.6), AND(J32=5, I32&gt;14.1)), 1, 0))</f>
        <v>0</v>
      </c>
      <c r="L32" s="18"/>
      <c r="M32" s="18">
        <v>43.8</v>
      </c>
    </row>
    <row r="33" spans="1:13">
      <c r="A33" s="5">
        <v>46078</v>
      </c>
      <c r="B33" s="6">
        <v>0.40277777777777779</v>
      </c>
      <c r="C33" s="6" t="s">
        <v>32</v>
      </c>
      <c r="D33" s="7" t="s">
        <v>35</v>
      </c>
      <c r="E33" s="7">
        <v>202511005</v>
      </c>
      <c r="F33" s="7">
        <v>102.3</v>
      </c>
      <c r="G33" s="7">
        <v>101.4</v>
      </c>
      <c r="H33" s="8">
        <v>25</v>
      </c>
      <c r="I33" s="7">
        <v>13.31</v>
      </c>
      <c r="J33" s="7">
        <f>VLOOKUP(D33, [1]設備資料!$A:$E, 5, 0)</f>
        <v>5</v>
      </c>
      <c r="K33" s="7">
        <f>IF(I33="", 0, IF(OR(I33=0, AND(J33=2, I33&gt;6.6), AND(J33=3, I33&gt;8.6), AND(J33=5, I33&gt;14.1)), 1, 0))</f>
        <v>0</v>
      </c>
      <c r="L33" s="8"/>
      <c r="M33" s="8">
        <v>43.8</v>
      </c>
    </row>
    <row r="34" spans="1:13">
      <c r="A34" s="15">
        <v>46078</v>
      </c>
      <c r="B34" s="16">
        <v>0.40277777777777779</v>
      </c>
      <c r="C34" s="16" t="s">
        <v>32</v>
      </c>
      <c r="D34" s="17" t="s">
        <v>36</v>
      </c>
      <c r="E34" s="17" t="s">
        <v>37</v>
      </c>
      <c r="F34" s="17">
        <v>102.4</v>
      </c>
      <c r="G34" s="17">
        <v>97.2</v>
      </c>
      <c r="H34" s="18">
        <v>25</v>
      </c>
      <c r="I34" s="17">
        <v>13.23</v>
      </c>
      <c r="J34" s="17">
        <f>VLOOKUP(D34, [1]設備資料!$A:$E, 5, 0)</f>
        <v>5</v>
      </c>
      <c r="K34" s="17">
        <f>IF(I34="", 0, IF(OR(I34=0, AND(J34=2, I34&gt;6.6), AND(J34=3, I34&gt;8.6), AND(J34=5, I34&gt;14.1)), 1, 0))</f>
        <v>0</v>
      </c>
      <c r="L34" s="18"/>
      <c r="M34" s="18">
        <v>43.8</v>
      </c>
    </row>
    <row r="35" spans="1:13">
      <c r="A35" s="5">
        <v>46078</v>
      </c>
      <c r="B35" s="6">
        <v>0.6875</v>
      </c>
      <c r="C35" s="6" t="s">
        <v>19</v>
      </c>
      <c r="D35" s="7" t="s">
        <v>16</v>
      </c>
      <c r="E35" s="7">
        <v>202510001</v>
      </c>
      <c r="F35" s="7">
        <v>75.599999999999994</v>
      </c>
      <c r="G35" s="7">
        <v>74.900000000000006</v>
      </c>
      <c r="H35" s="8">
        <v>27</v>
      </c>
      <c r="I35" s="7"/>
      <c r="J35" s="7">
        <f>VLOOKUP(D35, [1]設備資料!$A:$E, 5, 0)</f>
        <v>2</v>
      </c>
      <c r="K35" s="7">
        <f>IF(I35="", 0, IF(OR(I35=0, AND(J35=2, I35&gt;6.6), AND(J35=3, I35&gt;8.6), AND(J35=5, I35&gt;14.1)), 1, 0))</f>
        <v>0</v>
      </c>
      <c r="L35" s="8">
        <v>45.1</v>
      </c>
      <c r="M35" s="8"/>
    </row>
    <row r="36" spans="1:13">
      <c r="A36" s="15">
        <v>46078</v>
      </c>
      <c r="B36" s="16">
        <v>0.6875</v>
      </c>
      <c r="C36" s="16" t="s">
        <v>19</v>
      </c>
      <c r="D36" s="17" t="s">
        <v>20</v>
      </c>
      <c r="E36" s="17">
        <v>202510006</v>
      </c>
      <c r="F36" s="17">
        <v>71.400000000000006</v>
      </c>
      <c r="G36" s="17"/>
      <c r="H36" s="18">
        <v>27</v>
      </c>
      <c r="I36" s="17"/>
      <c r="J36" s="17">
        <f>VLOOKUP(D36, [1]設備資料!$A:$E, 5, 0)</f>
        <v>2</v>
      </c>
      <c r="K36" s="17">
        <f>IF(I36="", 0, IF(OR(I36=0, AND(J36=2, I36&gt;6.6), AND(J36=3, I36&gt;8.6), AND(J36=5, I36&gt;14.1)), 1, 0))</f>
        <v>0</v>
      </c>
      <c r="L36" s="18">
        <v>45.1</v>
      </c>
      <c r="M36" s="18"/>
    </row>
    <row r="37" spans="1:13">
      <c r="A37" s="5">
        <v>46078</v>
      </c>
      <c r="B37" s="6">
        <v>0.6875</v>
      </c>
      <c r="C37" s="6" t="s">
        <v>19</v>
      </c>
      <c r="D37" s="7" t="s">
        <v>23</v>
      </c>
      <c r="E37" s="7">
        <v>202511011</v>
      </c>
      <c r="F37" s="7">
        <v>81.2</v>
      </c>
      <c r="G37" s="7">
        <v>82.5</v>
      </c>
      <c r="H37" s="8">
        <v>27</v>
      </c>
      <c r="I37" s="7"/>
      <c r="J37" s="7">
        <f>VLOOKUP(D37, [1]設備資料!$A:$E, 5, 0)</f>
        <v>3</v>
      </c>
      <c r="K37" s="7">
        <f>IF(I37="", 0, IF(OR(I37=0, AND(J37=2, I37&gt;6.6), AND(J37=3, I37&gt;8.6), AND(J37=5, I37&gt;14.1)), 1, 0))</f>
        <v>0</v>
      </c>
      <c r="L37" s="8">
        <v>45.1</v>
      </c>
      <c r="M37" s="8"/>
    </row>
    <row r="38" spans="1:13">
      <c r="A38" s="15">
        <v>46078</v>
      </c>
      <c r="B38" s="16">
        <v>0.6875</v>
      </c>
      <c r="C38" s="16" t="s">
        <v>19</v>
      </c>
      <c r="D38" s="17" t="s">
        <v>24</v>
      </c>
      <c r="E38" s="17">
        <v>202511012</v>
      </c>
      <c r="F38" s="17">
        <v>80.900000000000006</v>
      </c>
      <c r="G38" s="17"/>
      <c r="H38" s="18">
        <v>27</v>
      </c>
      <c r="I38" s="17"/>
      <c r="J38" s="17">
        <f>VLOOKUP(D38, [1]設備資料!$A:$E, 5, 0)</f>
        <v>3</v>
      </c>
      <c r="K38" s="17">
        <f>IF(I38="", 0, IF(OR(I38=0, AND(J38=2, I38&gt;6.6), AND(J38=3, I38&gt;8.6), AND(J38=5, I38&gt;14.1)), 1, 0))</f>
        <v>0</v>
      </c>
      <c r="L38" s="18">
        <v>45.1</v>
      </c>
      <c r="M38" s="18"/>
    </row>
    <row r="39" spans="1:13">
      <c r="A39" s="5">
        <v>46078</v>
      </c>
      <c r="B39" s="6">
        <v>0.6875</v>
      </c>
      <c r="C39" s="6" t="s">
        <v>19</v>
      </c>
      <c r="D39" s="7" t="s">
        <v>25</v>
      </c>
      <c r="E39" s="7">
        <v>202511001</v>
      </c>
      <c r="F39" s="7">
        <v>103.1</v>
      </c>
      <c r="G39" s="7">
        <v>101.8</v>
      </c>
      <c r="H39" s="8">
        <v>27</v>
      </c>
      <c r="I39" s="7"/>
      <c r="J39" s="7">
        <f>VLOOKUP(D39, [1]設備資料!$A:$E, 5, 0)</f>
        <v>5</v>
      </c>
      <c r="K39" s="7">
        <f>IF(I39="", 0, IF(OR(I39=0, AND(J39=2, I39&gt;6.6), AND(J39=3, I39&gt;8.6), AND(J39=5, I39&gt;14.1)), 1, 0))</f>
        <v>0</v>
      </c>
      <c r="L39" s="8">
        <v>45.1</v>
      </c>
      <c r="M39" s="8"/>
    </row>
    <row r="40" spans="1:13">
      <c r="A40" s="15">
        <v>46078</v>
      </c>
      <c r="B40" s="16">
        <v>0.6875</v>
      </c>
      <c r="C40" s="16" t="s">
        <v>19</v>
      </c>
      <c r="D40" s="17" t="s">
        <v>26</v>
      </c>
      <c r="E40" s="17">
        <v>202511002</v>
      </c>
      <c r="F40" s="17">
        <v>98</v>
      </c>
      <c r="G40" s="17">
        <v>97.2</v>
      </c>
      <c r="H40" s="18">
        <v>27</v>
      </c>
      <c r="I40" s="17"/>
      <c r="J40" s="17">
        <f>VLOOKUP(D40, [1]設備資料!$A:$E, 5, 0)</f>
        <v>5</v>
      </c>
      <c r="K40" s="17">
        <f>IF(I40="", 0, IF(OR(I40=0, AND(J40=2, I40&gt;6.6), AND(J40=3, I40&gt;8.6), AND(J40=5, I40&gt;14.1)), 1, 0))</f>
        <v>0</v>
      </c>
      <c r="L40" s="18">
        <v>45.1</v>
      </c>
      <c r="M40" s="18"/>
    </row>
    <row r="41" spans="1:13">
      <c r="A41" s="5">
        <v>46078</v>
      </c>
      <c r="B41" s="6">
        <v>0.69444444444444442</v>
      </c>
      <c r="C41" s="6" t="s">
        <v>32</v>
      </c>
      <c r="D41" s="7" t="s">
        <v>31</v>
      </c>
      <c r="E41" s="7">
        <v>202510024</v>
      </c>
      <c r="F41" s="7">
        <v>74.7</v>
      </c>
      <c r="G41" s="7">
        <v>74.7</v>
      </c>
      <c r="H41" s="8">
        <v>27</v>
      </c>
      <c r="I41" s="7"/>
      <c r="J41" s="7">
        <f>VLOOKUP(D41, [1]設備資料!$A:$E, 5, 0)</f>
        <v>2</v>
      </c>
      <c r="K41" s="7">
        <f>IF(I41="", 0, IF(OR(I41=0, AND(J41=2, I41&gt;6.6), AND(J41=3, I41&gt;8.6), AND(J41=5, I41&gt;14.1)), 1, 0))</f>
        <v>0</v>
      </c>
      <c r="L41" s="8"/>
      <c r="M41" s="8">
        <v>44.2</v>
      </c>
    </row>
    <row r="42" spans="1:13">
      <c r="A42" s="15">
        <v>46078</v>
      </c>
      <c r="B42" s="16">
        <v>0.69444444444444442</v>
      </c>
      <c r="C42" s="16" t="s">
        <v>32</v>
      </c>
      <c r="D42" s="17" t="s">
        <v>33</v>
      </c>
      <c r="E42" s="17">
        <v>202510026</v>
      </c>
      <c r="F42" s="17">
        <v>78</v>
      </c>
      <c r="G42" s="17"/>
      <c r="H42" s="18">
        <v>27</v>
      </c>
      <c r="I42" s="17"/>
      <c r="J42" s="17">
        <f>VLOOKUP(D42, [1]設備資料!$A:$E, 5, 0)</f>
        <v>2</v>
      </c>
      <c r="K42" s="17">
        <f>IF(I42="", 0, IF(OR(I42=0, AND(J42=2, I42&gt;6.6), AND(J42=3, I42&gt;8.6), AND(J42=5, I42&gt;14.1)), 1, 0))</f>
        <v>0</v>
      </c>
      <c r="L42" s="18"/>
      <c r="M42" s="18">
        <v>44.2</v>
      </c>
    </row>
    <row r="43" spans="1:13">
      <c r="A43" s="5">
        <v>46078</v>
      </c>
      <c r="B43" s="6">
        <v>0.69444444444444442</v>
      </c>
      <c r="C43" s="6" t="s">
        <v>32</v>
      </c>
      <c r="D43" s="7" t="s">
        <v>34</v>
      </c>
      <c r="E43" s="7">
        <v>202511017</v>
      </c>
      <c r="F43" s="7">
        <v>81.2</v>
      </c>
      <c r="G43" s="7">
        <v>81</v>
      </c>
      <c r="H43" s="8">
        <v>27</v>
      </c>
      <c r="I43" s="7"/>
      <c r="J43" s="7">
        <f>VLOOKUP(D43, [1]設備資料!$A:$E, 5, 0)</f>
        <v>3</v>
      </c>
      <c r="K43" s="7">
        <f>IF(I43="", 0, IF(OR(I43=0, AND(J43=2, I43&gt;6.6), AND(J43=3, I43&gt;8.6), AND(J43=5, I43&gt;14.1)), 1, 0))</f>
        <v>0</v>
      </c>
      <c r="L43" s="8"/>
      <c r="M43" s="8">
        <v>44.2</v>
      </c>
    </row>
    <row r="44" spans="1:13">
      <c r="A44" s="15">
        <v>46078</v>
      </c>
      <c r="B44" s="16">
        <v>0.69444444444444442</v>
      </c>
      <c r="C44" s="16" t="s">
        <v>32</v>
      </c>
      <c r="D44" s="17" t="s">
        <v>35</v>
      </c>
      <c r="E44" s="17">
        <v>202511005</v>
      </c>
      <c r="F44" s="17">
        <v>101.7</v>
      </c>
      <c r="G44" s="17">
        <v>97</v>
      </c>
      <c r="H44" s="18">
        <v>27</v>
      </c>
      <c r="I44" s="17"/>
      <c r="J44" s="17">
        <f>VLOOKUP(D44, [1]設備資料!$A:$E, 5, 0)</f>
        <v>5</v>
      </c>
      <c r="K44" s="17">
        <f>IF(I44="", 0, IF(OR(I44=0, AND(J44=2, I44&gt;6.6), AND(J44=3, I44&gt;8.6), AND(J44=5, I44&gt;14.1)), 1, 0))</f>
        <v>0</v>
      </c>
      <c r="L44" s="18"/>
      <c r="M44" s="18">
        <v>44.2</v>
      </c>
    </row>
    <row r="45" spans="1:13">
      <c r="A45" s="5">
        <v>46078</v>
      </c>
      <c r="B45" s="6">
        <v>0.69444444444444442</v>
      </c>
      <c r="C45" s="6" t="s">
        <v>32</v>
      </c>
      <c r="D45" s="7" t="s">
        <v>36</v>
      </c>
      <c r="E45" s="7" t="s">
        <v>37</v>
      </c>
      <c r="F45" s="7">
        <v>103.7</v>
      </c>
      <c r="G45" s="7">
        <v>97.5</v>
      </c>
      <c r="H45" s="8">
        <v>27</v>
      </c>
      <c r="I45" s="7"/>
      <c r="J45" s="7">
        <f>VLOOKUP(D45, [1]設備資料!$A:$E, 5, 0)</f>
        <v>5</v>
      </c>
      <c r="K45" s="7">
        <f>IF(I45="", 0, IF(OR(I45=0, AND(J45=2, I45&gt;6.6), AND(J45=3, I45&gt;8.6), AND(J45=5, I45&gt;14.1)), 1, 0))</f>
        <v>0</v>
      </c>
      <c r="L45" s="8"/>
      <c r="M45" s="8">
        <v>44.2</v>
      </c>
    </row>
    <row r="46" spans="1:13">
      <c r="A46" s="15">
        <v>46079</v>
      </c>
      <c r="B46" s="16">
        <v>0.39583333333333331</v>
      </c>
      <c r="C46" s="16" t="s">
        <v>19</v>
      </c>
      <c r="D46" s="17" t="s">
        <v>16</v>
      </c>
      <c r="E46" s="17">
        <v>202510001</v>
      </c>
      <c r="F46" s="17">
        <v>78</v>
      </c>
      <c r="G46" s="17">
        <v>77.400000000000006</v>
      </c>
      <c r="H46" s="18">
        <v>23</v>
      </c>
      <c r="I46" s="17">
        <v>6.12</v>
      </c>
      <c r="J46" s="17">
        <f>VLOOKUP(D46, [1]設備資料!$A:$E, 5, 0)</f>
        <v>2</v>
      </c>
      <c r="K46" s="17">
        <f>IF(I46="", 0, IF(OR(I46=0, AND(J46=2, I46&gt;6.6), AND(J46=3, I46&gt;8.6), AND(J46=5, I46&gt;14.1)), 1, 0))</f>
        <v>0</v>
      </c>
      <c r="L46" s="18">
        <v>47.2</v>
      </c>
      <c r="M46" s="18"/>
    </row>
    <row r="47" spans="1:13">
      <c r="A47" s="5">
        <v>46079</v>
      </c>
      <c r="B47" s="6">
        <v>0.39583333333333331</v>
      </c>
      <c r="C47" s="6" t="s">
        <v>19</v>
      </c>
      <c r="D47" s="7" t="s">
        <v>20</v>
      </c>
      <c r="E47" s="7">
        <v>202510006</v>
      </c>
      <c r="F47" s="7">
        <v>73.599999999999994</v>
      </c>
      <c r="G47" s="7"/>
      <c r="H47" s="8">
        <v>23</v>
      </c>
      <c r="I47" s="7">
        <v>5.98</v>
      </c>
      <c r="J47" s="7">
        <f>VLOOKUP(D47, [1]設備資料!$A:$E, 5, 0)</f>
        <v>2</v>
      </c>
      <c r="K47" s="7">
        <f>IF(I47="", 0, IF(OR(I47=0, AND(J47=2, I47&gt;6.6), AND(J47=3, I47&gt;8.6), AND(J47=5, I47&gt;14.1)), 1, 0))</f>
        <v>0</v>
      </c>
      <c r="L47" s="8">
        <v>47.2</v>
      </c>
      <c r="M47" s="8"/>
    </row>
    <row r="48" spans="1:13">
      <c r="A48" s="15">
        <v>46079</v>
      </c>
      <c r="B48" s="16">
        <v>0.39583333333333331</v>
      </c>
      <c r="C48" s="16" t="s">
        <v>19</v>
      </c>
      <c r="D48" s="17" t="s">
        <v>23</v>
      </c>
      <c r="E48" s="17">
        <v>202511011</v>
      </c>
      <c r="F48" s="17">
        <v>85</v>
      </c>
      <c r="G48" s="17">
        <v>84</v>
      </c>
      <c r="H48" s="18">
        <v>23</v>
      </c>
      <c r="I48" s="17">
        <v>7.89</v>
      </c>
      <c r="J48" s="17">
        <f>VLOOKUP(D48, [1]設備資料!$A:$E, 5, 0)</f>
        <v>3</v>
      </c>
      <c r="K48" s="17">
        <f>IF(I48="", 0, IF(OR(I48=0, AND(J48=2, I48&gt;6.6), AND(J48=3, I48&gt;8.6), AND(J48=5, I48&gt;14.1)), 1, 0))</f>
        <v>0</v>
      </c>
      <c r="L48" s="18">
        <v>47.2</v>
      </c>
      <c r="M48" s="18"/>
    </row>
    <row r="49" spans="1:13">
      <c r="A49" s="5">
        <v>46079</v>
      </c>
      <c r="B49" s="6">
        <v>0.39583333333333331</v>
      </c>
      <c r="C49" s="6" t="s">
        <v>19</v>
      </c>
      <c r="D49" s="7" t="s">
        <v>24</v>
      </c>
      <c r="E49" s="7">
        <v>202511012</v>
      </c>
      <c r="F49" s="7">
        <v>83.5</v>
      </c>
      <c r="G49" s="7"/>
      <c r="H49" s="8">
        <v>23</v>
      </c>
      <c r="I49" s="7">
        <v>7.92</v>
      </c>
      <c r="J49" s="7">
        <f>VLOOKUP(D49, [1]設備資料!$A:$E, 5, 0)</f>
        <v>3</v>
      </c>
      <c r="K49" s="7">
        <f>IF(I49="", 0, IF(OR(I49=0, AND(J49=2, I49&gt;6.6), AND(J49=3, I49&gt;8.6), AND(J49=5, I49&gt;14.1)), 1, 0))</f>
        <v>0</v>
      </c>
      <c r="L49" s="8">
        <v>47.2</v>
      </c>
      <c r="M49" s="8"/>
    </row>
    <row r="50" spans="1:13">
      <c r="A50" s="15">
        <v>46079</v>
      </c>
      <c r="B50" s="16">
        <v>0.39583333333333331</v>
      </c>
      <c r="C50" s="16" t="s">
        <v>19</v>
      </c>
      <c r="D50" s="17" t="s">
        <v>25</v>
      </c>
      <c r="E50" s="17">
        <v>202511001</v>
      </c>
      <c r="F50" s="17">
        <v>105.7</v>
      </c>
      <c r="G50" s="17">
        <v>104.7</v>
      </c>
      <c r="H50" s="18">
        <v>23</v>
      </c>
      <c r="I50" s="17">
        <v>13.75</v>
      </c>
      <c r="J50" s="17">
        <f>VLOOKUP(D50, [1]設備資料!$A:$E, 5, 0)</f>
        <v>5</v>
      </c>
      <c r="K50" s="17">
        <f>IF(I50="", 0, IF(OR(I50=0, AND(J50=2, I50&gt;6.6), AND(J50=3, I50&gt;8.6), AND(J50=5, I50&gt;14.1)), 1, 0))</f>
        <v>0</v>
      </c>
      <c r="L50" s="18">
        <v>47.2</v>
      </c>
      <c r="M50" s="18"/>
    </row>
    <row r="51" spans="1:13">
      <c r="A51" s="5">
        <v>46079</v>
      </c>
      <c r="B51" s="6">
        <v>0.39583333333333331</v>
      </c>
      <c r="C51" s="6" t="s">
        <v>19</v>
      </c>
      <c r="D51" s="7" t="s">
        <v>26</v>
      </c>
      <c r="E51" s="7">
        <v>202511002</v>
      </c>
      <c r="F51" s="7">
        <v>100.7</v>
      </c>
      <c r="G51" s="7">
        <v>99.8</v>
      </c>
      <c r="H51" s="8">
        <v>23</v>
      </c>
      <c r="I51" s="7">
        <v>13.45</v>
      </c>
      <c r="J51" s="7">
        <f>VLOOKUP(D51, [1]設備資料!$A:$E, 5, 0)</f>
        <v>5</v>
      </c>
      <c r="K51" s="7">
        <f>IF(I51="", 0, IF(OR(I51=0, AND(J51=2, I51&gt;6.6), AND(J51=3, I51&gt;8.6), AND(J51=5, I51&gt;14.1)), 1, 0))</f>
        <v>0</v>
      </c>
      <c r="L51" s="8">
        <v>47.2</v>
      </c>
      <c r="M51" s="8"/>
    </row>
    <row r="52" spans="1:13">
      <c r="A52" s="15">
        <v>46079</v>
      </c>
      <c r="B52" s="16">
        <v>0.40277777777777779</v>
      </c>
      <c r="C52" s="16" t="s">
        <v>32</v>
      </c>
      <c r="D52" s="17" t="s">
        <v>31</v>
      </c>
      <c r="E52" s="17">
        <v>202510024</v>
      </c>
      <c r="F52" s="17">
        <v>77.3</v>
      </c>
      <c r="G52" s="17">
        <v>77.2</v>
      </c>
      <c r="H52" s="18">
        <v>23</v>
      </c>
      <c r="I52" s="17">
        <v>6.38</v>
      </c>
      <c r="J52" s="17">
        <f>VLOOKUP(D52, [1]設備資料!$A:$E, 5, 0)</f>
        <v>2</v>
      </c>
      <c r="K52" s="17">
        <f>IF(I52="", 0, IF(OR(I52=0, AND(J52=2, I52&gt;6.6), AND(J52=3, I52&gt;8.6), AND(J52=5, I52&gt;14.1)), 1, 0))</f>
        <v>0</v>
      </c>
      <c r="L52" s="18"/>
      <c r="M52" s="18">
        <v>46.2</v>
      </c>
    </row>
    <row r="53" spans="1:13">
      <c r="A53" s="5">
        <v>46079</v>
      </c>
      <c r="B53" s="6">
        <v>0.40277777777777779</v>
      </c>
      <c r="C53" s="6" t="s">
        <v>32</v>
      </c>
      <c r="D53" s="7" t="s">
        <v>33</v>
      </c>
      <c r="E53" s="7">
        <v>202510026</v>
      </c>
      <c r="F53" s="7">
        <v>81.099999999999994</v>
      </c>
      <c r="G53" s="7"/>
      <c r="H53" s="8">
        <v>23</v>
      </c>
      <c r="I53" s="7">
        <v>6.22</v>
      </c>
      <c r="J53" s="7">
        <f>VLOOKUP(D53, [1]設備資料!$A:$E, 5, 0)</f>
        <v>2</v>
      </c>
      <c r="K53" s="7">
        <f>IF(I53="", 0, IF(OR(I53=0, AND(J53=2, I53&gt;6.6), AND(J53=3, I53&gt;8.6), AND(J53=5, I53&gt;14.1)), 1, 0))</f>
        <v>0</v>
      </c>
      <c r="L53" s="8"/>
      <c r="M53" s="8">
        <v>46.2</v>
      </c>
    </row>
    <row r="54" spans="1:13">
      <c r="A54" s="15">
        <v>46079</v>
      </c>
      <c r="B54" s="16">
        <v>0.40277777777777779</v>
      </c>
      <c r="C54" s="16" t="s">
        <v>32</v>
      </c>
      <c r="D54" s="17" t="s">
        <v>34</v>
      </c>
      <c r="E54" s="17">
        <v>202511017</v>
      </c>
      <c r="F54" s="17">
        <v>83.7</v>
      </c>
      <c r="G54" s="17">
        <v>81.2</v>
      </c>
      <c r="H54" s="18">
        <v>23</v>
      </c>
      <c r="I54" s="17">
        <v>8.0500000000000007</v>
      </c>
      <c r="J54" s="17">
        <f>VLOOKUP(D54, [1]設備資料!$A:$E, 5, 0)</f>
        <v>3</v>
      </c>
      <c r="K54" s="17">
        <f>IF(I54="", 0, IF(OR(I54=0, AND(J54=2, I54&gt;6.6), AND(J54=3, I54&gt;8.6), AND(J54=5, I54&gt;14.1)), 1, 0))</f>
        <v>0</v>
      </c>
      <c r="L54" s="18"/>
      <c r="M54" s="18">
        <v>46.2</v>
      </c>
    </row>
    <row r="55" spans="1:13">
      <c r="A55" s="5">
        <v>46079</v>
      </c>
      <c r="B55" s="6">
        <v>0.40277777777777779</v>
      </c>
      <c r="C55" s="6" t="s">
        <v>32</v>
      </c>
      <c r="D55" s="7" t="s">
        <v>35</v>
      </c>
      <c r="E55" s="7">
        <v>202511005</v>
      </c>
      <c r="F55" s="7">
        <v>104.7</v>
      </c>
      <c r="G55" s="7">
        <v>100</v>
      </c>
      <c r="H55" s="8">
        <v>23</v>
      </c>
      <c r="I55" s="7">
        <v>13.62</v>
      </c>
      <c r="J55" s="7">
        <f>VLOOKUP(D55, [1]設備資料!$A:$E, 5, 0)</f>
        <v>5</v>
      </c>
      <c r="K55" s="7">
        <f>IF(I55="", 0, IF(OR(I55=0, AND(J55=2, I55&gt;6.6), AND(J55=3, I55&gt;8.6), AND(J55=5, I55&gt;14.1)), 1, 0))</f>
        <v>0</v>
      </c>
      <c r="L55" s="8"/>
      <c r="M55" s="8">
        <v>46.2</v>
      </c>
    </row>
    <row r="56" spans="1:13">
      <c r="A56" s="15">
        <v>46079</v>
      </c>
      <c r="B56" s="16">
        <v>0.40277777777777779</v>
      </c>
      <c r="C56" s="16" t="s">
        <v>32</v>
      </c>
      <c r="D56" s="17" t="s">
        <v>36</v>
      </c>
      <c r="E56" s="17" t="s">
        <v>37</v>
      </c>
      <c r="F56" s="17">
        <v>108.4</v>
      </c>
      <c r="G56" s="17">
        <v>100.5</v>
      </c>
      <c r="H56" s="18">
        <v>23</v>
      </c>
      <c r="I56" s="17">
        <v>13.71</v>
      </c>
      <c r="J56" s="17">
        <f>VLOOKUP(D56, [1]設備資料!$A:$E, 5, 0)</f>
        <v>5</v>
      </c>
      <c r="K56" s="17">
        <f>IF(I56="", 0, IF(OR(I56=0, AND(J56=2, I56&gt;6.6), AND(J56=3, I56&gt;8.6), AND(J56=5, I56&gt;14.1)), 1, 0))</f>
        <v>0</v>
      </c>
      <c r="L56" s="18"/>
      <c r="M56" s="18">
        <v>46.2</v>
      </c>
    </row>
    <row r="57" spans="1:13">
      <c r="A57" s="5">
        <v>46083</v>
      </c>
      <c r="B57" s="6">
        <v>0.39583333333333331</v>
      </c>
      <c r="C57" s="6" t="s">
        <v>19</v>
      </c>
      <c r="D57" s="7" t="s">
        <v>16</v>
      </c>
      <c r="E57" s="7">
        <v>202510001</v>
      </c>
      <c r="F57" s="7">
        <v>81.099999999999994</v>
      </c>
      <c r="G57" s="7"/>
      <c r="H57" s="8">
        <v>25</v>
      </c>
      <c r="I57" s="7"/>
      <c r="J57" s="7">
        <f>VLOOKUP(D57, [1]設備資料!$A:$E, 5, 0)</f>
        <v>2</v>
      </c>
      <c r="K57" s="7">
        <f>IF(I57="", 0, IF(OR(I57=0, AND(J57=2, I57&gt;6.6), AND(J57=3, I57&gt;8.6), AND(J57=5, I57&gt;14.1)), 1, 0))</f>
        <v>0</v>
      </c>
      <c r="L57" s="8">
        <v>50.4</v>
      </c>
      <c r="M57" s="8"/>
    </row>
    <row r="58" spans="1:13">
      <c r="A58" s="15">
        <v>46083</v>
      </c>
      <c r="B58" s="16">
        <v>0.39583333333333331</v>
      </c>
      <c r="C58" s="16" t="s">
        <v>19</v>
      </c>
      <c r="D58" s="17" t="s">
        <v>20</v>
      </c>
      <c r="E58" s="17">
        <v>202510006</v>
      </c>
      <c r="F58" s="17">
        <v>76.5</v>
      </c>
      <c r="G58" s="17"/>
      <c r="H58" s="18">
        <v>25</v>
      </c>
      <c r="I58" s="17"/>
      <c r="J58" s="17">
        <f>VLOOKUP(D58, [1]設備資料!$A:$E, 5, 0)</f>
        <v>2</v>
      </c>
      <c r="K58" s="17">
        <f>IF(I58="", 0, IF(OR(I58=0, AND(J58=2, I58&gt;6.6), AND(J58=3, I58&gt;8.6), AND(J58=5, I58&gt;14.1)), 1, 0))</f>
        <v>0</v>
      </c>
      <c r="L58" s="18">
        <v>50.4</v>
      </c>
      <c r="M58" s="18"/>
    </row>
    <row r="59" spans="1:13">
      <c r="A59" s="5">
        <v>46083</v>
      </c>
      <c r="B59" s="6">
        <v>0.39583333333333331</v>
      </c>
      <c r="C59" s="6" t="s">
        <v>19</v>
      </c>
      <c r="D59" s="7" t="s">
        <v>23</v>
      </c>
      <c r="E59" s="7">
        <v>202511011</v>
      </c>
      <c r="F59" s="7">
        <v>86.9</v>
      </c>
      <c r="G59" s="7"/>
      <c r="H59" s="8">
        <v>25</v>
      </c>
      <c r="I59" s="7"/>
      <c r="J59" s="7">
        <f>VLOOKUP(D59, [1]設備資料!$A:$E, 5, 0)</f>
        <v>3</v>
      </c>
      <c r="K59" s="7">
        <f>IF(I59="", 0, IF(OR(I59=0, AND(J59=2, I59&gt;6.6), AND(J59=3, I59&gt;8.6), AND(J59=5, I59&gt;14.1)), 1, 0))</f>
        <v>0</v>
      </c>
      <c r="L59" s="8">
        <v>50.4</v>
      </c>
      <c r="M59" s="8"/>
    </row>
    <row r="60" spans="1:13">
      <c r="A60" s="15">
        <v>46083</v>
      </c>
      <c r="B60" s="16">
        <v>0.39583333333333331</v>
      </c>
      <c r="C60" s="16" t="s">
        <v>19</v>
      </c>
      <c r="D60" s="17" t="s">
        <v>24</v>
      </c>
      <c r="E60" s="17">
        <v>202511012</v>
      </c>
      <c r="F60" s="17">
        <v>85.8</v>
      </c>
      <c r="G60" s="17"/>
      <c r="H60" s="18">
        <v>25</v>
      </c>
      <c r="I60" s="17"/>
      <c r="J60" s="17">
        <f>VLOOKUP(D60, [1]設備資料!$A:$E, 5, 0)</f>
        <v>3</v>
      </c>
      <c r="K60" s="17">
        <f>IF(I60="", 0, IF(OR(I60=0, AND(J60=2, I60&gt;6.6), AND(J60=3, I60&gt;8.6), AND(J60=5, I60&gt;14.1)), 1, 0))</f>
        <v>0</v>
      </c>
      <c r="L60" s="18">
        <v>50.4</v>
      </c>
      <c r="M60" s="18"/>
    </row>
    <row r="61" spans="1:13">
      <c r="A61" s="5">
        <v>46083</v>
      </c>
      <c r="B61" s="6">
        <v>0.39583333333333331</v>
      </c>
      <c r="C61" s="6" t="s">
        <v>19</v>
      </c>
      <c r="D61" s="7" t="s">
        <v>25</v>
      </c>
      <c r="E61" s="7">
        <v>202511001</v>
      </c>
      <c r="F61" s="7">
        <v>107.3</v>
      </c>
      <c r="G61" s="7"/>
      <c r="H61" s="8">
        <v>25</v>
      </c>
      <c r="I61" s="7"/>
      <c r="J61" s="7">
        <f>VLOOKUP(D61, [1]設備資料!$A:$E, 5, 0)</f>
        <v>5</v>
      </c>
      <c r="K61" s="7">
        <f>IF(I61="", 0, IF(OR(I61=0, AND(J61=2, I61&gt;6.6), AND(J61=3, I61&gt;8.6), AND(J61=5, I61&gt;14.1)), 1, 0))</f>
        <v>0</v>
      </c>
      <c r="L61" s="8">
        <v>50.4</v>
      </c>
      <c r="M61" s="8"/>
    </row>
    <row r="62" spans="1:13">
      <c r="A62" s="15">
        <v>46083</v>
      </c>
      <c r="B62" s="16">
        <v>0.39583333333333331</v>
      </c>
      <c r="C62" s="16" t="s">
        <v>19</v>
      </c>
      <c r="D62" s="17" t="s">
        <v>26</v>
      </c>
      <c r="E62" s="17">
        <v>202511002</v>
      </c>
      <c r="F62" s="17">
        <v>103.8</v>
      </c>
      <c r="G62" s="17"/>
      <c r="H62" s="18">
        <v>25</v>
      </c>
      <c r="I62" s="17"/>
      <c r="J62" s="17">
        <f>VLOOKUP(D62, [1]設備資料!$A:$E, 5, 0)</f>
        <v>5</v>
      </c>
      <c r="K62" s="17">
        <f>IF(I62="", 0, IF(OR(I62=0, AND(J62=2, I62&gt;6.6), AND(J62=3, I62&gt;8.6), AND(J62=5, I62&gt;14.1)), 1, 0))</f>
        <v>0</v>
      </c>
      <c r="L62" s="18">
        <v>50.4</v>
      </c>
      <c r="M62" s="18"/>
    </row>
    <row r="63" spans="1:13">
      <c r="A63" s="5">
        <v>46083</v>
      </c>
      <c r="B63" s="6">
        <v>0.40277777777777779</v>
      </c>
      <c r="C63" s="6" t="s">
        <v>32</v>
      </c>
      <c r="D63" s="7" t="s">
        <v>31</v>
      </c>
      <c r="E63" s="7">
        <v>202510024</v>
      </c>
      <c r="F63" s="7">
        <v>81</v>
      </c>
      <c r="G63" s="7"/>
      <c r="H63" s="8">
        <v>25</v>
      </c>
      <c r="I63" s="7"/>
      <c r="J63" s="7">
        <f>VLOOKUP(D63, [1]設備資料!$A:$E, 5, 0)</f>
        <v>2</v>
      </c>
      <c r="K63" s="7">
        <f>IF(I63="", 0, IF(OR(I63=0, AND(J63=2, I63&gt;6.6), AND(J63=3, I63&gt;8.6), AND(J63=5, I63&gt;14.1)), 1, 0))</f>
        <v>0</v>
      </c>
      <c r="L63" s="8"/>
      <c r="M63" s="8">
        <v>49.6</v>
      </c>
    </row>
    <row r="64" spans="1:13">
      <c r="A64" s="15">
        <v>46083</v>
      </c>
      <c r="B64" s="16">
        <v>0.40277777777777779</v>
      </c>
      <c r="C64" s="16" t="s">
        <v>32</v>
      </c>
      <c r="D64" s="17" t="s">
        <v>33</v>
      </c>
      <c r="E64" s="17">
        <v>202510026</v>
      </c>
      <c r="F64" s="17">
        <v>84.2</v>
      </c>
      <c r="G64" s="17"/>
      <c r="H64" s="18">
        <v>25</v>
      </c>
      <c r="I64" s="17"/>
      <c r="J64" s="17">
        <f>VLOOKUP(D64, [1]設備資料!$A:$E, 5, 0)</f>
        <v>2</v>
      </c>
      <c r="K64" s="17">
        <f>IF(I64="", 0, IF(OR(I64=0, AND(J64=2, I64&gt;6.6), AND(J64=3, I64&gt;8.6), AND(J64=5, I64&gt;14.1)), 1, 0))</f>
        <v>0</v>
      </c>
      <c r="L64" s="18"/>
      <c r="M64" s="18">
        <v>49.6</v>
      </c>
    </row>
    <row r="65" spans="1:13">
      <c r="A65" s="5">
        <v>46083</v>
      </c>
      <c r="B65" s="6">
        <v>0.40277777777777779</v>
      </c>
      <c r="C65" s="6" t="s">
        <v>32</v>
      </c>
      <c r="D65" s="7" t="s">
        <v>34</v>
      </c>
      <c r="E65" s="7">
        <v>202511017</v>
      </c>
      <c r="F65" s="7">
        <v>87.2</v>
      </c>
      <c r="G65" s="7"/>
      <c r="H65" s="8">
        <v>25</v>
      </c>
      <c r="I65" s="7"/>
      <c r="J65" s="7">
        <f>VLOOKUP(D65, [1]設備資料!$A:$E, 5, 0)</f>
        <v>3</v>
      </c>
      <c r="K65" s="7">
        <f>IF(I65="", 0, IF(OR(I65=0, AND(J65=2, I65&gt;6.6), AND(J65=3, I65&gt;8.6), AND(J65=5, I65&gt;14.1)), 1, 0))</f>
        <v>0</v>
      </c>
      <c r="L65" s="8"/>
      <c r="M65" s="8">
        <v>49.6</v>
      </c>
    </row>
    <row r="66" spans="1:13">
      <c r="A66" s="15">
        <v>46083</v>
      </c>
      <c r="B66" s="16">
        <v>0.40277777777777779</v>
      </c>
      <c r="C66" s="16" t="s">
        <v>32</v>
      </c>
      <c r="D66" s="17" t="s">
        <v>35</v>
      </c>
      <c r="E66" s="17">
        <v>202511005</v>
      </c>
      <c r="F66" s="17">
        <v>109.2</v>
      </c>
      <c r="G66" s="17"/>
      <c r="H66" s="18">
        <v>25</v>
      </c>
      <c r="I66" s="17"/>
      <c r="J66" s="17">
        <f>VLOOKUP(D66, [1]設備資料!$A:$E, 5, 0)</f>
        <v>5</v>
      </c>
      <c r="K66" s="17">
        <f>IF(I66="", 0, IF(OR(I66=0, AND(J66=2, I66&gt;6.6), AND(J66=3, I66&gt;8.6), AND(J66=5, I66&gt;14.1)), 1, 0))</f>
        <v>0</v>
      </c>
      <c r="L66" s="18"/>
      <c r="M66" s="18">
        <v>49.6</v>
      </c>
    </row>
    <row r="67" spans="1:13">
      <c r="A67" s="5">
        <v>46083</v>
      </c>
      <c r="B67" s="6">
        <v>0.40277777777777779</v>
      </c>
      <c r="C67" s="6" t="s">
        <v>32</v>
      </c>
      <c r="D67" s="7" t="s">
        <v>36</v>
      </c>
      <c r="E67" s="7" t="s">
        <v>37</v>
      </c>
      <c r="F67" s="7">
        <v>110.4</v>
      </c>
      <c r="G67" s="7"/>
      <c r="H67" s="8">
        <v>25</v>
      </c>
      <c r="I67" s="7"/>
      <c r="J67" s="7">
        <f>VLOOKUP(D67, [1]設備資料!$A:$E, 5, 0)</f>
        <v>5</v>
      </c>
      <c r="K67" s="7">
        <f>IF(I67="", 0, IF(OR(I67=0, AND(J67=2, I67&gt;6.6), AND(J67=3, I67&gt;8.6), AND(J67=5, I67&gt;14.1)), 1, 0))</f>
        <v>0</v>
      </c>
      <c r="L67" s="8"/>
      <c r="M67" s="8">
        <v>49.6</v>
      </c>
    </row>
    <row r="68" spans="1:13">
      <c r="A68" s="15">
        <v>46083</v>
      </c>
      <c r="B68" s="16">
        <v>0.6875</v>
      </c>
      <c r="C68" s="16" t="s">
        <v>19</v>
      </c>
      <c r="D68" s="17" t="s">
        <v>16</v>
      </c>
      <c r="E68" s="17">
        <v>202510001</v>
      </c>
      <c r="F68" s="17">
        <v>79.7</v>
      </c>
      <c r="G68" s="17"/>
      <c r="H68" s="18">
        <v>27</v>
      </c>
      <c r="I68" s="17"/>
      <c r="J68" s="17">
        <f>VLOOKUP(D68, [1]設備資料!$A:$E, 5, 0)</f>
        <v>2</v>
      </c>
      <c r="K68" s="17">
        <f>IF(I68="", 0, IF(OR(I68=0, AND(J68=2, I68&gt;6.6), AND(J68=3, I68&gt;8.6), AND(J68=5, I68&gt;14.1)), 1, 0))</f>
        <v>0</v>
      </c>
      <c r="L68" s="18">
        <v>48.9</v>
      </c>
      <c r="M68" s="18"/>
    </row>
    <row r="69" spans="1:13">
      <c r="A69" s="5">
        <v>46083</v>
      </c>
      <c r="B69" s="6">
        <v>0.6875</v>
      </c>
      <c r="C69" s="6" t="s">
        <v>19</v>
      </c>
      <c r="D69" s="7" t="s">
        <v>20</v>
      </c>
      <c r="E69" s="7">
        <v>202510006</v>
      </c>
      <c r="F69" s="7">
        <v>75.099999999999994</v>
      </c>
      <c r="G69" s="7"/>
      <c r="H69" s="8">
        <v>27</v>
      </c>
      <c r="I69" s="7"/>
      <c r="J69" s="7">
        <f>VLOOKUP(D69, [1]設備資料!$A:$E, 5, 0)</f>
        <v>2</v>
      </c>
      <c r="K69" s="7">
        <f>IF(I69="", 0, IF(OR(I69=0, AND(J69=2, I69&gt;6.6), AND(J69=3, I69&gt;8.6), AND(J69=5, I69&gt;14.1)), 1, 0))</f>
        <v>0</v>
      </c>
      <c r="L69" s="8">
        <v>48.9</v>
      </c>
      <c r="M69" s="8"/>
    </row>
    <row r="70" spans="1:13">
      <c r="A70" s="15">
        <v>46083</v>
      </c>
      <c r="B70" s="16">
        <v>0.6875</v>
      </c>
      <c r="C70" s="16" t="s">
        <v>19</v>
      </c>
      <c r="D70" s="17" t="s">
        <v>23</v>
      </c>
      <c r="E70" s="17">
        <v>202511011</v>
      </c>
      <c r="F70" s="17">
        <v>85.6</v>
      </c>
      <c r="G70" s="17"/>
      <c r="H70" s="18">
        <v>27</v>
      </c>
      <c r="I70" s="17"/>
      <c r="J70" s="17">
        <f>VLOOKUP(D70, [1]設備資料!$A:$E, 5, 0)</f>
        <v>3</v>
      </c>
      <c r="K70" s="17">
        <f>IF(I70="", 0, IF(OR(I70=0, AND(J70=2, I70&gt;6.6), AND(J70=3, I70&gt;8.6), AND(J70=5, I70&gt;14.1)), 1, 0))</f>
        <v>0</v>
      </c>
      <c r="L70" s="18">
        <v>48.9</v>
      </c>
      <c r="M70" s="18"/>
    </row>
    <row r="71" spans="1:13">
      <c r="A71" s="5">
        <v>46083</v>
      </c>
      <c r="B71" s="6">
        <v>0.6875</v>
      </c>
      <c r="C71" s="6" t="s">
        <v>19</v>
      </c>
      <c r="D71" s="7" t="s">
        <v>24</v>
      </c>
      <c r="E71" s="7">
        <v>202511012</v>
      </c>
      <c r="F71" s="7">
        <v>84.5</v>
      </c>
      <c r="G71" s="7"/>
      <c r="H71" s="8">
        <v>27</v>
      </c>
      <c r="I71" s="7"/>
      <c r="J71" s="7">
        <f>VLOOKUP(D71, [1]設備資料!$A:$E, 5, 0)</f>
        <v>3</v>
      </c>
      <c r="K71" s="7">
        <f>IF(I71="", 0, IF(OR(I71=0, AND(J71=2, I71&gt;6.6), AND(J71=3, I71&gt;8.6), AND(J71=5, I71&gt;14.1)), 1, 0))</f>
        <v>0</v>
      </c>
      <c r="L71" s="8">
        <v>48.9</v>
      </c>
      <c r="M71" s="8"/>
    </row>
    <row r="72" spans="1:13">
      <c r="A72" s="15">
        <v>46083</v>
      </c>
      <c r="B72" s="16">
        <v>0.6875</v>
      </c>
      <c r="C72" s="16" t="s">
        <v>19</v>
      </c>
      <c r="D72" s="17" t="s">
        <v>25</v>
      </c>
      <c r="E72" s="17">
        <v>202511001</v>
      </c>
      <c r="F72" s="17">
        <v>106.6</v>
      </c>
      <c r="G72" s="17"/>
      <c r="H72" s="18">
        <v>27</v>
      </c>
      <c r="I72" s="17"/>
      <c r="J72" s="17">
        <f>VLOOKUP(D72, [1]設備資料!$A:$E, 5, 0)</f>
        <v>5</v>
      </c>
      <c r="K72" s="17">
        <f>IF(I72="", 0, IF(OR(I72=0, AND(J72=2, I72&gt;6.6), AND(J72=3, I72&gt;8.6), AND(J72=5, I72&gt;14.1)), 1, 0))</f>
        <v>0</v>
      </c>
      <c r="L72" s="18">
        <v>48.9</v>
      </c>
      <c r="M72" s="18"/>
    </row>
    <row r="73" spans="1:13">
      <c r="A73" s="5">
        <v>46083</v>
      </c>
      <c r="B73" s="6">
        <v>0.6875</v>
      </c>
      <c r="C73" s="6" t="s">
        <v>19</v>
      </c>
      <c r="D73" s="7" t="s">
        <v>26</v>
      </c>
      <c r="E73" s="7">
        <v>202511002</v>
      </c>
      <c r="F73" s="7">
        <v>102.4</v>
      </c>
      <c r="G73" s="7"/>
      <c r="H73" s="8">
        <v>27</v>
      </c>
      <c r="I73" s="7"/>
      <c r="J73" s="7">
        <f>VLOOKUP(D73, [1]設備資料!$A:$E, 5, 0)</f>
        <v>5</v>
      </c>
      <c r="K73" s="7">
        <f>IF(I73="", 0, IF(OR(I73=0, AND(J73=2, I73&gt;6.6), AND(J73=3, I73&gt;8.6), AND(J73=5, I73&gt;14.1)), 1, 0))</f>
        <v>0</v>
      </c>
      <c r="L73" s="8">
        <v>48.9</v>
      </c>
      <c r="M73" s="8"/>
    </row>
    <row r="74" spans="1:13">
      <c r="A74" s="15">
        <v>46083</v>
      </c>
      <c r="B74" s="16">
        <v>0.69444444444444442</v>
      </c>
      <c r="C74" s="16" t="s">
        <v>32</v>
      </c>
      <c r="D74" s="17" t="s">
        <v>31</v>
      </c>
      <c r="E74" s="17">
        <v>202510024</v>
      </c>
      <c r="F74" s="17">
        <v>79.400000000000006</v>
      </c>
      <c r="G74" s="17"/>
      <c r="H74" s="18">
        <v>27</v>
      </c>
      <c r="I74" s="17"/>
      <c r="J74" s="17">
        <f>VLOOKUP(D74, [1]設備資料!$A:$E, 5, 0)</f>
        <v>2</v>
      </c>
      <c r="K74" s="17">
        <f>IF(I74="", 0, IF(OR(I74=0, AND(J74=2, I74&gt;6.6), AND(J74=3, I74&gt;8.6), AND(J74=5, I74&gt;14.1)), 1, 0))</f>
        <v>0</v>
      </c>
      <c r="L74" s="18"/>
      <c r="M74" s="18">
        <v>48.1</v>
      </c>
    </row>
    <row r="75" spans="1:13">
      <c r="A75" s="5">
        <v>46083</v>
      </c>
      <c r="B75" s="6">
        <v>0.69444444444444442</v>
      </c>
      <c r="C75" s="6" t="s">
        <v>32</v>
      </c>
      <c r="D75" s="7" t="s">
        <v>33</v>
      </c>
      <c r="E75" s="7">
        <v>202510026</v>
      </c>
      <c r="F75" s="7">
        <v>83</v>
      </c>
      <c r="G75" s="7"/>
      <c r="H75" s="8">
        <v>27</v>
      </c>
      <c r="I75" s="7"/>
      <c r="J75" s="7">
        <f>VLOOKUP(D75, [1]設備資料!$A:$E, 5, 0)</f>
        <v>2</v>
      </c>
      <c r="K75" s="7">
        <f>IF(I75="", 0, IF(OR(I75=0, AND(J75=2, I75&gt;6.6), AND(J75=3, I75&gt;8.6), AND(J75=5, I75&gt;14.1)), 1, 0))</f>
        <v>0</v>
      </c>
      <c r="L75" s="8"/>
      <c r="M75" s="8">
        <v>48.1</v>
      </c>
    </row>
    <row r="76" spans="1:13">
      <c r="A76" s="15">
        <v>46083</v>
      </c>
      <c r="B76" s="16">
        <v>0.69444444444444442</v>
      </c>
      <c r="C76" s="16" t="s">
        <v>32</v>
      </c>
      <c r="D76" s="17" t="s">
        <v>34</v>
      </c>
      <c r="E76" s="17">
        <v>202511017</v>
      </c>
      <c r="F76" s="17">
        <v>85.3</v>
      </c>
      <c r="G76" s="17"/>
      <c r="H76" s="18">
        <v>27</v>
      </c>
      <c r="I76" s="17"/>
      <c r="J76" s="17">
        <f>VLOOKUP(D76, [1]設備資料!$A:$E, 5, 0)</f>
        <v>3</v>
      </c>
      <c r="K76" s="17">
        <f>IF(I76="", 0, IF(OR(I76=0, AND(J76=2, I76&gt;6.6), AND(J76=3, I76&gt;8.6), AND(J76=5, I76&gt;14.1)), 1, 0))</f>
        <v>0</v>
      </c>
      <c r="L76" s="18"/>
      <c r="M76" s="18">
        <v>48.1</v>
      </c>
    </row>
    <row r="77" spans="1:13">
      <c r="A77" s="5">
        <v>46083</v>
      </c>
      <c r="B77" s="6">
        <v>0.69444444444444442</v>
      </c>
      <c r="C77" s="6" t="s">
        <v>32</v>
      </c>
      <c r="D77" s="7" t="s">
        <v>35</v>
      </c>
      <c r="E77" s="7">
        <v>202511005</v>
      </c>
      <c r="F77" s="7">
        <v>107.1</v>
      </c>
      <c r="G77" s="7"/>
      <c r="H77" s="8">
        <v>27</v>
      </c>
      <c r="I77" s="7"/>
      <c r="J77" s="7">
        <f>VLOOKUP(D77, [1]設備資料!$A:$E, 5, 0)</f>
        <v>5</v>
      </c>
      <c r="K77" s="7">
        <f>IF(I77="", 0, IF(OR(I77=0, AND(J77=2, I77&gt;6.6), AND(J77=3, I77&gt;8.6), AND(J77=5, I77&gt;14.1)), 1, 0))</f>
        <v>0</v>
      </c>
      <c r="L77" s="8"/>
      <c r="M77" s="8">
        <v>48.1</v>
      </c>
    </row>
    <row r="78" spans="1:13">
      <c r="A78" s="15">
        <v>46083</v>
      </c>
      <c r="B78" s="16">
        <v>0.69444444444444442</v>
      </c>
      <c r="C78" s="16" t="s">
        <v>32</v>
      </c>
      <c r="D78" s="17" t="s">
        <v>36</v>
      </c>
      <c r="E78" s="17" t="s">
        <v>37</v>
      </c>
      <c r="F78" s="17">
        <v>109</v>
      </c>
      <c r="G78" s="17"/>
      <c r="H78" s="18">
        <v>27</v>
      </c>
      <c r="I78" s="17"/>
      <c r="J78" s="17">
        <f>VLOOKUP(D78, [1]設備資料!$A:$E, 5, 0)</f>
        <v>5</v>
      </c>
      <c r="K78" s="17">
        <f>IF(I78="", 0, IF(OR(I78=0, AND(J78=2, I78&gt;6.6), AND(J78=3, I78&gt;8.6), AND(J78=5, I78&gt;14.1)), 1, 0))</f>
        <v>0</v>
      </c>
      <c r="L78" s="18"/>
      <c r="M78" s="18">
        <v>48.1</v>
      </c>
    </row>
    <row r="79" spans="1:13">
      <c r="A79" s="5">
        <v>46084</v>
      </c>
      <c r="B79" s="6">
        <v>0.39583333333333331</v>
      </c>
      <c r="C79" s="6" t="s">
        <v>19</v>
      </c>
      <c r="D79" s="7" t="s">
        <v>16</v>
      </c>
      <c r="E79" s="7">
        <v>202510001</v>
      </c>
      <c r="F79" s="7">
        <v>81.099999999999994</v>
      </c>
      <c r="G79" s="7"/>
      <c r="H79" s="8">
        <v>22</v>
      </c>
      <c r="I79" s="7"/>
      <c r="J79" s="7">
        <f>VLOOKUP(D79, [1]設備資料!$A:$E, 5, 0)</f>
        <v>2</v>
      </c>
      <c r="K79" s="7">
        <f>IF(I79="", 0, IF(OR(I79=0, AND(J79=2, I79&gt;6.6), AND(J79=3, I79&gt;8.6), AND(J79=5, I79&gt;14.1)), 1, 0))</f>
        <v>0</v>
      </c>
      <c r="L79" s="8">
        <v>50.4</v>
      </c>
      <c r="M79" s="8"/>
    </row>
    <row r="80" spans="1:13">
      <c r="A80" s="15">
        <v>46084</v>
      </c>
      <c r="B80" s="16">
        <v>0.39583333333333331</v>
      </c>
      <c r="C80" s="16" t="s">
        <v>19</v>
      </c>
      <c r="D80" s="17" t="s">
        <v>20</v>
      </c>
      <c r="E80" s="17">
        <v>202510006</v>
      </c>
      <c r="F80" s="17">
        <v>76.5</v>
      </c>
      <c r="G80" s="17"/>
      <c r="H80" s="18">
        <v>22</v>
      </c>
      <c r="I80" s="17"/>
      <c r="J80" s="17">
        <f>VLOOKUP(D80, [1]設備資料!$A:$E, 5, 0)</f>
        <v>2</v>
      </c>
      <c r="K80" s="17">
        <f>IF(I80="", 0, IF(OR(I80=0, AND(J80=2, I80&gt;6.6), AND(J80=3, I80&gt;8.6), AND(J80=5, I80&gt;14.1)), 1, 0))</f>
        <v>0</v>
      </c>
      <c r="L80" s="18">
        <v>50.4</v>
      </c>
      <c r="M80" s="18"/>
    </row>
    <row r="81" spans="1:13">
      <c r="A81" s="5">
        <v>46084</v>
      </c>
      <c r="B81" s="6">
        <v>0.39583333333333331</v>
      </c>
      <c r="C81" s="6" t="s">
        <v>19</v>
      </c>
      <c r="D81" s="7" t="s">
        <v>23</v>
      </c>
      <c r="E81" s="7">
        <v>202511011</v>
      </c>
      <c r="F81" s="7">
        <v>86.9</v>
      </c>
      <c r="G81" s="7"/>
      <c r="H81" s="8">
        <v>22</v>
      </c>
      <c r="I81" s="7"/>
      <c r="J81" s="7">
        <f>VLOOKUP(D81, [1]設備資料!$A:$E, 5, 0)</f>
        <v>3</v>
      </c>
      <c r="K81" s="7">
        <f>IF(I81="", 0, IF(OR(I81=0, AND(J81=2, I81&gt;6.6), AND(J81=3, I81&gt;8.6), AND(J81=5, I81&gt;14.1)), 1, 0))</f>
        <v>0</v>
      </c>
      <c r="L81" s="8">
        <v>50.4</v>
      </c>
      <c r="M81" s="8"/>
    </row>
    <row r="82" spans="1:13">
      <c r="A82" s="15">
        <v>46084</v>
      </c>
      <c r="B82" s="16">
        <v>0.39583333333333331</v>
      </c>
      <c r="C82" s="16" t="s">
        <v>19</v>
      </c>
      <c r="D82" s="17" t="s">
        <v>24</v>
      </c>
      <c r="E82" s="17">
        <v>202511012</v>
      </c>
      <c r="F82" s="17">
        <v>85.8</v>
      </c>
      <c r="G82" s="17"/>
      <c r="H82" s="18">
        <v>22</v>
      </c>
      <c r="I82" s="17"/>
      <c r="J82" s="17">
        <f>VLOOKUP(D82, [1]設備資料!$A:$E, 5, 0)</f>
        <v>3</v>
      </c>
      <c r="K82" s="17">
        <f>IF(I82="", 0, IF(OR(I82=0, AND(J82=2, I82&gt;6.6), AND(J82=3, I82&gt;8.6), AND(J82=5, I82&gt;14.1)), 1, 0))</f>
        <v>0</v>
      </c>
      <c r="L82" s="18">
        <v>50.4</v>
      </c>
      <c r="M82" s="18"/>
    </row>
    <row r="83" spans="1:13">
      <c r="A83" s="5">
        <v>46084</v>
      </c>
      <c r="B83" s="6">
        <v>0.39583333333333331</v>
      </c>
      <c r="C83" s="6" t="s">
        <v>19</v>
      </c>
      <c r="D83" s="7" t="s">
        <v>25</v>
      </c>
      <c r="E83" s="7">
        <v>202511001</v>
      </c>
      <c r="F83" s="7">
        <v>107.8</v>
      </c>
      <c r="G83" s="7"/>
      <c r="H83" s="8">
        <v>22</v>
      </c>
      <c r="I83" s="7"/>
      <c r="J83" s="7">
        <f>VLOOKUP(D83, [1]設備資料!$A:$E, 5, 0)</f>
        <v>5</v>
      </c>
      <c r="K83" s="7">
        <f>IF(I83="", 0, IF(OR(I83=0, AND(J83=2, I83&gt;6.6), AND(J83=3, I83&gt;8.6), AND(J83=5, I83&gt;14.1)), 1, 0))</f>
        <v>0</v>
      </c>
      <c r="L83" s="8">
        <v>50.4</v>
      </c>
      <c r="M83" s="8"/>
    </row>
    <row r="84" spans="1:13">
      <c r="A84" s="15">
        <v>46084</v>
      </c>
      <c r="B84" s="16">
        <v>0.39583333333333331</v>
      </c>
      <c r="C84" s="16" t="s">
        <v>19</v>
      </c>
      <c r="D84" s="17" t="s">
        <v>26</v>
      </c>
      <c r="E84" s="17">
        <v>202511002</v>
      </c>
      <c r="F84" s="17">
        <v>103.8</v>
      </c>
      <c r="G84" s="17"/>
      <c r="H84" s="18">
        <v>22</v>
      </c>
      <c r="I84" s="17"/>
      <c r="J84" s="17">
        <f>VLOOKUP(D84, [1]設備資料!$A:$E, 5, 0)</f>
        <v>5</v>
      </c>
      <c r="K84" s="17">
        <f>IF(I84="", 0, IF(OR(I84=0, AND(J84=2, I84&gt;6.6), AND(J84=3, I84&gt;8.6), AND(J84=5, I84&gt;14.1)), 1, 0))</f>
        <v>0</v>
      </c>
      <c r="L84" s="18">
        <v>50.4</v>
      </c>
      <c r="M84" s="18"/>
    </row>
    <row r="85" spans="1:13">
      <c r="A85" s="5">
        <v>46084</v>
      </c>
      <c r="B85" s="6">
        <v>0.40277777777777779</v>
      </c>
      <c r="C85" s="6" t="s">
        <v>32</v>
      </c>
      <c r="D85" s="7" t="s">
        <v>31</v>
      </c>
      <c r="E85" s="7">
        <v>202510024</v>
      </c>
      <c r="F85" s="7">
        <v>81</v>
      </c>
      <c r="G85" s="7"/>
      <c r="H85" s="8">
        <v>22</v>
      </c>
      <c r="I85" s="7"/>
      <c r="J85" s="7">
        <f>VLOOKUP(D85, [1]設備資料!$A:$E, 5, 0)</f>
        <v>2</v>
      </c>
      <c r="K85" s="7">
        <f>IF(I85="", 0, IF(OR(I85=0, AND(J85=2, I85&gt;6.6), AND(J85=3, I85&gt;8.6), AND(J85=5, I85&gt;14.1)), 1, 0))</f>
        <v>0</v>
      </c>
      <c r="L85" s="8"/>
      <c r="M85" s="8">
        <v>49.6</v>
      </c>
    </row>
    <row r="86" spans="1:13">
      <c r="A86" s="15">
        <v>46084</v>
      </c>
      <c r="B86" s="16">
        <v>0.40277777777777779</v>
      </c>
      <c r="C86" s="16" t="s">
        <v>32</v>
      </c>
      <c r="D86" s="17" t="s">
        <v>33</v>
      </c>
      <c r="E86" s="17">
        <v>202510026</v>
      </c>
      <c r="F86" s="17">
        <v>84.2</v>
      </c>
      <c r="G86" s="17"/>
      <c r="H86" s="18">
        <v>22</v>
      </c>
      <c r="I86" s="17"/>
      <c r="J86" s="17">
        <f>VLOOKUP(D86, [1]設備資料!$A:$E, 5, 0)</f>
        <v>2</v>
      </c>
      <c r="K86" s="17">
        <f>IF(I86="", 0, IF(OR(I86=0, AND(J86=2, I86&gt;6.6), AND(J86=3, I86&gt;8.6), AND(J86=5, I86&gt;14.1)), 1, 0))</f>
        <v>0</v>
      </c>
      <c r="L86" s="18"/>
      <c r="M86" s="18">
        <v>49.6</v>
      </c>
    </row>
    <row r="87" spans="1:13">
      <c r="A87" s="5">
        <v>46084</v>
      </c>
      <c r="B87" s="6">
        <v>0.40277777777777779</v>
      </c>
      <c r="C87" s="6" t="s">
        <v>32</v>
      </c>
      <c r="D87" s="7" t="s">
        <v>34</v>
      </c>
      <c r="E87" s="7">
        <v>202511017</v>
      </c>
      <c r="F87" s="7">
        <v>87.2</v>
      </c>
      <c r="G87" s="7"/>
      <c r="H87" s="8">
        <v>22</v>
      </c>
      <c r="I87" s="7"/>
      <c r="J87" s="7">
        <f>VLOOKUP(D87, [1]設備資料!$A:$E, 5, 0)</f>
        <v>3</v>
      </c>
      <c r="K87" s="7">
        <f>IF(I87="", 0, IF(OR(I87=0, AND(J87=2, I87&gt;6.6), AND(J87=3, I87&gt;8.6), AND(J87=5, I87&gt;14.1)), 1, 0))</f>
        <v>0</v>
      </c>
      <c r="L87" s="8"/>
      <c r="M87" s="8">
        <v>49.6</v>
      </c>
    </row>
    <row r="88" spans="1:13">
      <c r="A88" s="15">
        <v>46084</v>
      </c>
      <c r="B88" s="16">
        <v>0.40277777777777779</v>
      </c>
      <c r="C88" s="16" t="s">
        <v>32</v>
      </c>
      <c r="D88" s="17" t="s">
        <v>35</v>
      </c>
      <c r="E88" s="17">
        <v>202511005</v>
      </c>
      <c r="F88" s="17">
        <v>109.2</v>
      </c>
      <c r="G88" s="17"/>
      <c r="H88" s="18">
        <v>22</v>
      </c>
      <c r="I88" s="17"/>
      <c r="J88" s="17">
        <f>VLOOKUP(D88, [1]設備資料!$A:$E, 5, 0)</f>
        <v>5</v>
      </c>
      <c r="K88" s="17">
        <f>IF(I88="", 0, IF(OR(I88=0, AND(J88=2, I88&gt;6.6), AND(J88=3, I88&gt;8.6), AND(J88=5, I88&gt;14.1)), 1, 0))</f>
        <v>0</v>
      </c>
      <c r="L88" s="18"/>
      <c r="M88" s="18">
        <v>49.6</v>
      </c>
    </row>
    <row r="89" spans="1:13">
      <c r="A89" s="5">
        <v>46084</v>
      </c>
      <c r="B89" s="6">
        <v>0.40277777777777779</v>
      </c>
      <c r="C89" s="6" t="s">
        <v>32</v>
      </c>
      <c r="D89" s="7" t="s">
        <v>36</v>
      </c>
      <c r="E89" s="7" t="s">
        <v>37</v>
      </c>
      <c r="F89" s="7">
        <v>110.4</v>
      </c>
      <c r="G89" s="7"/>
      <c r="H89" s="8">
        <v>22</v>
      </c>
      <c r="I89" s="7"/>
      <c r="J89" s="7">
        <f>VLOOKUP(D89, [1]設備資料!$A:$E, 5, 0)</f>
        <v>5</v>
      </c>
      <c r="K89" s="7">
        <f>IF(I89="", 0, IF(OR(I89=0, AND(J89=2, I89&gt;6.6), AND(J89=3, I89&gt;8.6), AND(J89=5, I89&gt;14.1)), 1, 0))</f>
        <v>0</v>
      </c>
      <c r="L89" s="8"/>
      <c r="M89" s="8">
        <v>49.6</v>
      </c>
    </row>
    <row r="90" spans="1:13">
      <c r="A90" s="15">
        <v>46084</v>
      </c>
      <c r="B90" s="16">
        <v>0.6875</v>
      </c>
      <c r="C90" s="16" t="s">
        <v>19</v>
      </c>
      <c r="D90" s="17" t="s">
        <v>16</v>
      </c>
      <c r="E90" s="17">
        <v>202510001</v>
      </c>
      <c r="F90" s="17">
        <v>79.7</v>
      </c>
      <c r="G90" s="17"/>
      <c r="H90" s="18">
        <v>23</v>
      </c>
      <c r="I90" s="17"/>
      <c r="J90" s="17">
        <f>VLOOKUP(D90, [1]設備資料!$A:$E, 5, 0)</f>
        <v>2</v>
      </c>
      <c r="K90" s="17">
        <f>IF(I90="", 0, IF(OR(I90=0, AND(J90=2, I90&gt;6.6), AND(J90=3, I90&gt;8.6), AND(J90=5, I90&gt;14.1)), 1, 0))</f>
        <v>0</v>
      </c>
      <c r="L90" s="18">
        <v>48.9</v>
      </c>
      <c r="M90" s="18"/>
    </row>
    <row r="91" spans="1:13">
      <c r="A91" s="5">
        <v>46084</v>
      </c>
      <c r="B91" s="6">
        <v>0.6875</v>
      </c>
      <c r="C91" s="6" t="s">
        <v>19</v>
      </c>
      <c r="D91" s="7" t="s">
        <v>20</v>
      </c>
      <c r="E91" s="7">
        <v>202510006</v>
      </c>
      <c r="F91" s="7">
        <v>75.099999999999994</v>
      </c>
      <c r="G91" s="7"/>
      <c r="H91" s="8">
        <v>23</v>
      </c>
      <c r="I91" s="7"/>
      <c r="J91" s="7">
        <f>VLOOKUP(D91, [1]設備資料!$A:$E, 5, 0)</f>
        <v>2</v>
      </c>
      <c r="K91" s="7">
        <f>IF(I91="", 0, IF(OR(I91=0, AND(J91=2, I91&gt;6.6), AND(J91=3, I91&gt;8.6), AND(J91=5, I91&gt;14.1)), 1, 0))</f>
        <v>0</v>
      </c>
      <c r="L91" s="8">
        <v>48.9</v>
      </c>
      <c r="M91" s="8"/>
    </row>
    <row r="92" spans="1:13">
      <c r="A92" s="15">
        <v>46084</v>
      </c>
      <c r="B92" s="16">
        <v>0.6875</v>
      </c>
      <c r="C92" s="16" t="s">
        <v>19</v>
      </c>
      <c r="D92" s="17" t="s">
        <v>23</v>
      </c>
      <c r="E92" s="17">
        <v>202511011</v>
      </c>
      <c r="F92" s="17">
        <v>85.6</v>
      </c>
      <c r="G92" s="17"/>
      <c r="H92" s="18">
        <v>23</v>
      </c>
      <c r="I92" s="17"/>
      <c r="J92" s="17">
        <f>VLOOKUP(D92, [1]設備資料!$A:$E, 5, 0)</f>
        <v>3</v>
      </c>
      <c r="K92" s="17">
        <f>IF(I92="", 0, IF(OR(I92=0, AND(J92=2, I92&gt;6.6), AND(J92=3, I92&gt;8.6), AND(J92=5, I92&gt;14.1)), 1, 0))</f>
        <v>0</v>
      </c>
      <c r="L92" s="18">
        <v>48.9</v>
      </c>
      <c r="M92" s="18"/>
    </row>
    <row r="93" spans="1:13">
      <c r="A93" s="5">
        <v>46084</v>
      </c>
      <c r="B93" s="6">
        <v>0.6875</v>
      </c>
      <c r="C93" s="6" t="s">
        <v>19</v>
      </c>
      <c r="D93" s="7" t="s">
        <v>24</v>
      </c>
      <c r="E93" s="7">
        <v>202511012</v>
      </c>
      <c r="F93" s="7">
        <v>84.5</v>
      </c>
      <c r="G93" s="7"/>
      <c r="H93" s="8">
        <v>23</v>
      </c>
      <c r="I93" s="7"/>
      <c r="J93" s="7">
        <f>VLOOKUP(D93, [1]設備資料!$A:$E, 5, 0)</f>
        <v>3</v>
      </c>
      <c r="K93" s="7">
        <f>IF(I93="", 0, IF(OR(I93=0, AND(J93=2, I93&gt;6.6), AND(J93=3, I93&gt;8.6), AND(J93=5, I93&gt;14.1)), 1, 0))</f>
        <v>0</v>
      </c>
      <c r="L93" s="8">
        <v>48.9</v>
      </c>
      <c r="M93" s="8"/>
    </row>
    <row r="94" spans="1:13">
      <c r="A94" s="15">
        <v>46084</v>
      </c>
      <c r="B94" s="16">
        <v>0.6875</v>
      </c>
      <c r="C94" s="16" t="s">
        <v>19</v>
      </c>
      <c r="D94" s="17" t="s">
        <v>25</v>
      </c>
      <c r="E94" s="17">
        <v>202511001</v>
      </c>
      <c r="F94" s="17">
        <v>106.6</v>
      </c>
      <c r="G94" s="17"/>
      <c r="H94" s="18">
        <v>23</v>
      </c>
      <c r="I94" s="17"/>
      <c r="J94" s="17">
        <f>VLOOKUP(D94, [1]設備資料!$A:$E, 5, 0)</f>
        <v>5</v>
      </c>
      <c r="K94" s="17">
        <f>IF(I94="", 0, IF(OR(I94=0, AND(J94=2, I94&gt;6.6), AND(J94=3, I94&gt;8.6), AND(J94=5, I94&gt;14.1)), 1, 0))</f>
        <v>0</v>
      </c>
      <c r="L94" s="18">
        <v>48.9</v>
      </c>
      <c r="M94" s="18"/>
    </row>
    <row r="95" spans="1:13">
      <c r="A95" s="5">
        <v>46084</v>
      </c>
      <c r="B95" s="6">
        <v>0.6875</v>
      </c>
      <c r="C95" s="6" t="s">
        <v>19</v>
      </c>
      <c r="D95" s="7" t="s">
        <v>26</v>
      </c>
      <c r="E95" s="7">
        <v>202511002</v>
      </c>
      <c r="F95" s="7">
        <v>102.4</v>
      </c>
      <c r="G95" s="7"/>
      <c r="H95" s="8">
        <v>23</v>
      </c>
      <c r="I95" s="7"/>
      <c r="J95" s="7">
        <f>VLOOKUP(D95, [1]設備資料!$A:$E, 5, 0)</f>
        <v>5</v>
      </c>
      <c r="K95" s="7">
        <f>IF(I95="", 0, IF(OR(I95=0, AND(J95=2, I95&gt;6.6), AND(J95=3, I95&gt;8.6), AND(J95=5, I95&gt;14.1)), 1, 0))</f>
        <v>0</v>
      </c>
      <c r="L95" s="8">
        <v>48.9</v>
      </c>
      <c r="M95" s="8"/>
    </row>
    <row r="96" spans="1:13">
      <c r="A96" s="15">
        <v>46084</v>
      </c>
      <c r="B96" s="16">
        <v>0.69444444444444442</v>
      </c>
      <c r="C96" s="16" t="s">
        <v>32</v>
      </c>
      <c r="D96" s="17" t="s">
        <v>31</v>
      </c>
      <c r="E96" s="17">
        <v>202510024</v>
      </c>
      <c r="F96" s="17">
        <v>79.5</v>
      </c>
      <c r="G96" s="17"/>
      <c r="H96" s="18">
        <v>23</v>
      </c>
      <c r="I96" s="17"/>
      <c r="J96" s="17">
        <f>VLOOKUP(D96, [1]設備資料!$A:$E, 5, 0)</f>
        <v>2</v>
      </c>
      <c r="K96" s="17">
        <f>IF(I96="", 0, IF(OR(I96=0, AND(J96=2, I96&gt;6.6), AND(J96=3, I96&gt;8.6), AND(J96=5, I96&gt;14.1)), 1, 0))</f>
        <v>0</v>
      </c>
      <c r="L96" s="18"/>
      <c r="M96" s="18">
        <v>48.1</v>
      </c>
    </row>
    <row r="97" spans="1:13">
      <c r="A97" s="5">
        <v>46084</v>
      </c>
      <c r="B97" s="6">
        <v>0.69444444444444442</v>
      </c>
      <c r="C97" s="6" t="s">
        <v>32</v>
      </c>
      <c r="D97" s="7" t="s">
        <v>33</v>
      </c>
      <c r="E97" s="7">
        <v>202510026</v>
      </c>
      <c r="F97" s="7">
        <v>83</v>
      </c>
      <c r="G97" s="7"/>
      <c r="H97" s="8">
        <v>23</v>
      </c>
      <c r="I97" s="7"/>
      <c r="J97" s="7">
        <f>VLOOKUP(D97, [1]設備資料!$A:$E, 5, 0)</f>
        <v>2</v>
      </c>
      <c r="K97" s="7">
        <f>IF(I97="", 0, IF(OR(I97=0, AND(J97=2, I97&gt;6.6), AND(J97=3, I97&gt;8.6), AND(J97=5, I97&gt;14.1)), 1, 0))</f>
        <v>0</v>
      </c>
      <c r="L97" s="8"/>
      <c r="M97" s="8">
        <v>48.1</v>
      </c>
    </row>
    <row r="98" spans="1:13">
      <c r="A98" s="15">
        <v>46084</v>
      </c>
      <c r="B98" s="16">
        <v>0.69444444444444442</v>
      </c>
      <c r="C98" s="16" t="s">
        <v>32</v>
      </c>
      <c r="D98" s="17" t="s">
        <v>34</v>
      </c>
      <c r="E98" s="17">
        <v>202511017</v>
      </c>
      <c r="F98" s="17">
        <v>85.3</v>
      </c>
      <c r="G98" s="17"/>
      <c r="H98" s="18">
        <v>23</v>
      </c>
      <c r="I98" s="17"/>
      <c r="J98" s="17">
        <f>VLOOKUP(D98, [1]設備資料!$A:$E, 5, 0)</f>
        <v>3</v>
      </c>
      <c r="K98" s="17">
        <f>IF(I98="", 0, IF(OR(I98=0, AND(J98=2, I98&gt;6.6), AND(J98=3, I98&gt;8.6), AND(J98=5, I98&gt;14.1)), 1, 0))</f>
        <v>0</v>
      </c>
      <c r="L98" s="18"/>
      <c r="M98" s="18">
        <v>48.1</v>
      </c>
    </row>
    <row r="99" spans="1:13">
      <c r="A99" s="5">
        <v>46084</v>
      </c>
      <c r="B99" s="6">
        <v>0.69444444444444442</v>
      </c>
      <c r="C99" s="6" t="s">
        <v>32</v>
      </c>
      <c r="D99" s="7" t="s">
        <v>35</v>
      </c>
      <c r="E99" s="7">
        <v>202511005</v>
      </c>
      <c r="F99" s="7">
        <v>107.1</v>
      </c>
      <c r="G99" s="7"/>
      <c r="H99" s="8">
        <v>23</v>
      </c>
      <c r="I99" s="7"/>
      <c r="J99" s="7">
        <f>VLOOKUP(D99, [1]設備資料!$A:$E, 5, 0)</f>
        <v>5</v>
      </c>
      <c r="K99" s="7">
        <f>IF(I99="", 0, IF(OR(I99=0, AND(J99=2, I99&gt;6.6), AND(J99=3, I99&gt;8.6), AND(J99=5, I99&gt;14.1)), 1, 0))</f>
        <v>0</v>
      </c>
      <c r="L99" s="8"/>
      <c r="M99" s="8">
        <v>48.1</v>
      </c>
    </row>
    <row r="100" spans="1:13">
      <c r="A100" s="15">
        <v>46084</v>
      </c>
      <c r="B100" s="16">
        <v>0.69444444444444442</v>
      </c>
      <c r="C100" s="16" t="s">
        <v>32</v>
      </c>
      <c r="D100" s="17" t="s">
        <v>36</v>
      </c>
      <c r="E100" s="17" t="s">
        <v>37</v>
      </c>
      <c r="F100" s="17">
        <v>109</v>
      </c>
      <c r="G100" s="17"/>
      <c r="H100" s="18">
        <v>23</v>
      </c>
      <c r="I100" s="17"/>
      <c r="J100" s="17">
        <f>VLOOKUP(D100, [1]設備資料!$A:$E, 5, 0)</f>
        <v>5</v>
      </c>
      <c r="K100" s="17">
        <f>IF(I100="", 0, IF(OR(I100=0, AND(J100=2, I100&gt;6.6), AND(J100=3, I100&gt;8.6), AND(J100=5, I100&gt;14.1)), 1, 0))</f>
        <v>0</v>
      </c>
      <c r="L100" s="18"/>
      <c r="M100" s="18">
        <v>48.1</v>
      </c>
    </row>
    <row r="101" spans="1:13">
      <c r="A101" s="5">
        <v>46085</v>
      </c>
      <c r="B101" s="6">
        <v>0.39583333333333331</v>
      </c>
      <c r="C101" s="6" t="s">
        <v>19</v>
      </c>
      <c r="D101" s="7" t="s">
        <v>16</v>
      </c>
      <c r="E101" s="7">
        <v>202510001</v>
      </c>
      <c r="F101" s="7">
        <v>77.099999999999994</v>
      </c>
      <c r="G101" s="7"/>
      <c r="H101" s="8">
        <v>18</v>
      </c>
      <c r="I101" s="7">
        <v>6.21</v>
      </c>
      <c r="J101" s="7">
        <f>VLOOKUP(D101, [1]設備資料!$A:$E, 5, 0)</f>
        <v>2</v>
      </c>
      <c r="K101" s="7">
        <f>IF(I101="", 0, IF(OR(I101=0, AND(J101=2, I101&gt;6.6), AND(J101=3, I101&gt;8.6), AND(J101=5, I101&gt;14.1)), 1, 0))</f>
        <v>0</v>
      </c>
      <c r="L101" s="8">
        <v>46.4</v>
      </c>
      <c r="M101" s="8"/>
    </row>
    <row r="102" spans="1:13">
      <c r="A102" s="15">
        <v>46085</v>
      </c>
      <c r="B102" s="16">
        <v>0.39583333333333331</v>
      </c>
      <c r="C102" s="16" t="s">
        <v>19</v>
      </c>
      <c r="D102" s="17" t="s">
        <v>20</v>
      </c>
      <c r="E102" s="17">
        <v>202510006</v>
      </c>
      <c r="F102" s="17">
        <v>72.7</v>
      </c>
      <c r="G102" s="17"/>
      <c r="H102" s="18">
        <v>18</v>
      </c>
      <c r="I102" s="17">
        <v>6.14</v>
      </c>
      <c r="J102" s="17">
        <f>VLOOKUP(D102, [1]設備資料!$A:$E, 5, 0)</f>
        <v>2</v>
      </c>
      <c r="K102" s="17">
        <f>IF(I102="", 0, IF(OR(I102=0, AND(J102=2, I102&gt;6.6), AND(J102=3, I102&gt;8.6), AND(J102=5, I102&gt;14.1)), 1, 0))</f>
        <v>0</v>
      </c>
      <c r="L102" s="18">
        <v>46.4</v>
      </c>
      <c r="M102" s="18"/>
    </row>
    <row r="103" spans="1:13">
      <c r="A103" s="5">
        <v>46085</v>
      </c>
      <c r="B103" s="6">
        <v>0.39583333333333331</v>
      </c>
      <c r="C103" s="6" t="s">
        <v>19</v>
      </c>
      <c r="D103" s="7" t="s">
        <v>23</v>
      </c>
      <c r="E103" s="7">
        <v>202511011</v>
      </c>
      <c r="F103" s="7">
        <v>83.9</v>
      </c>
      <c r="G103" s="7"/>
      <c r="H103" s="8">
        <v>18</v>
      </c>
      <c r="I103" s="7">
        <v>7.81</v>
      </c>
      <c r="J103" s="7">
        <f>VLOOKUP(D103, [1]設備資料!$A:$E, 5, 0)</f>
        <v>3</v>
      </c>
      <c r="K103" s="7">
        <f>IF(I103="", 0, IF(OR(I103=0, AND(J103=2, I103&gt;6.6), AND(J103=3, I103&gt;8.6), AND(J103=5, I103&gt;14.1)), 1, 0))</f>
        <v>0</v>
      </c>
      <c r="L103" s="8">
        <v>46.4</v>
      </c>
      <c r="M103" s="8"/>
    </row>
    <row r="104" spans="1:13">
      <c r="A104" s="15">
        <v>46085</v>
      </c>
      <c r="B104" s="16">
        <v>0.39583333333333331</v>
      </c>
      <c r="C104" s="16" t="s">
        <v>19</v>
      </c>
      <c r="D104" s="17" t="s">
        <v>24</v>
      </c>
      <c r="E104" s="17">
        <v>202511012</v>
      </c>
      <c r="F104" s="17">
        <v>82.8</v>
      </c>
      <c r="G104" s="17"/>
      <c r="H104" s="18">
        <v>18</v>
      </c>
      <c r="I104" s="17">
        <v>7.83</v>
      </c>
      <c r="J104" s="17">
        <f>VLOOKUP(D104, [1]設備資料!$A:$E, 5, 0)</f>
        <v>3</v>
      </c>
      <c r="K104" s="17">
        <f>IF(I104="", 0, IF(OR(I104=0, AND(J104=2, I104&gt;6.6), AND(J104=3, I104&gt;8.6), AND(J104=5, I104&gt;14.1)), 1, 0))</f>
        <v>0</v>
      </c>
      <c r="L104" s="18">
        <v>46.4</v>
      </c>
      <c r="M104" s="18"/>
    </row>
    <row r="105" spans="1:13">
      <c r="A105" s="5">
        <v>46085</v>
      </c>
      <c r="B105" s="6">
        <v>0.39583333333333331</v>
      </c>
      <c r="C105" s="6" t="s">
        <v>19</v>
      </c>
      <c r="D105" s="7" t="s">
        <v>25</v>
      </c>
      <c r="E105" s="7">
        <v>202511001</v>
      </c>
      <c r="F105" s="7">
        <v>104.4</v>
      </c>
      <c r="G105" s="7"/>
      <c r="H105" s="8">
        <v>18</v>
      </c>
      <c r="I105" s="7">
        <v>13.84</v>
      </c>
      <c r="J105" s="7">
        <f>VLOOKUP(D105, [1]設備資料!$A:$E, 5, 0)</f>
        <v>5</v>
      </c>
      <c r="K105" s="7">
        <f>IF(I105="", 0, IF(OR(I105=0, AND(J105=2, I105&gt;6.6), AND(J105=3, I105&gt;8.6), AND(J105=5, I105&gt;14.1)), 1, 0))</f>
        <v>0</v>
      </c>
      <c r="L105" s="8">
        <v>46.4</v>
      </c>
      <c r="M105" s="8"/>
    </row>
    <row r="106" spans="1:13">
      <c r="A106" s="15">
        <v>46085</v>
      </c>
      <c r="B106" s="16">
        <v>0.39583333333333331</v>
      </c>
      <c r="C106" s="16" t="s">
        <v>19</v>
      </c>
      <c r="D106" s="17" t="s">
        <v>26</v>
      </c>
      <c r="E106" s="17">
        <v>202511002</v>
      </c>
      <c r="F106" s="17">
        <v>101.5</v>
      </c>
      <c r="G106" s="17"/>
      <c r="H106" s="18">
        <v>18</v>
      </c>
      <c r="I106" s="17">
        <v>13.79</v>
      </c>
      <c r="J106" s="17">
        <f>VLOOKUP(D106, [1]設備資料!$A:$E, 5, 0)</f>
        <v>5</v>
      </c>
      <c r="K106" s="17">
        <f>IF(I106="", 0, IF(OR(I106=0, AND(J106=2, I106&gt;6.6), AND(J106=3, I106&gt;8.6), AND(J106=5, I106&gt;14.1)), 1, 0))</f>
        <v>0</v>
      </c>
      <c r="L106" s="18">
        <v>46.4</v>
      </c>
      <c r="M106" s="18"/>
    </row>
    <row r="107" spans="1:13">
      <c r="A107" s="5">
        <v>46085</v>
      </c>
      <c r="B107" s="6">
        <v>0.40277777777777779</v>
      </c>
      <c r="C107" s="6" t="s">
        <v>32</v>
      </c>
      <c r="D107" s="7" t="s">
        <v>31</v>
      </c>
      <c r="E107" s="7">
        <v>202510024</v>
      </c>
      <c r="F107" s="7">
        <v>77.099999999999994</v>
      </c>
      <c r="G107" s="7"/>
      <c r="H107" s="8">
        <v>18</v>
      </c>
      <c r="I107" s="7">
        <v>6.32</v>
      </c>
      <c r="J107" s="7">
        <f>VLOOKUP(D107, [1]設備資料!$A:$E, 5, 0)</f>
        <v>2</v>
      </c>
      <c r="K107" s="7">
        <f>IF(I107="", 0, IF(OR(I107=0, AND(J107=2, I107&gt;6.6), AND(J107=3, I107&gt;8.6), AND(J107=5, I107&gt;14.1)), 1, 0))</f>
        <v>0</v>
      </c>
      <c r="L107" s="8"/>
      <c r="M107" s="8">
        <v>45.6</v>
      </c>
    </row>
    <row r="108" spans="1:13">
      <c r="A108" s="15">
        <v>46085</v>
      </c>
      <c r="B108" s="16">
        <v>0.40277777777777779</v>
      </c>
      <c r="C108" s="16" t="s">
        <v>32</v>
      </c>
      <c r="D108" s="17" t="s">
        <v>33</v>
      </c>
      <c r="E108" s="17">
        <v>202510026</v>
      </c>
      <c r="F108" s="17">
        <v>81</v>
      </c>
      <c r="G108" s="17"/>
      <c r="H108" s="18">
        <v>18</v>
      </c>
      <c r="I108" s="17">
        <v>6.27</v>
      </c>
      <c r="J108" s="17">
        <f>VLOOKUP(D108, [1]設備資料!$A:$E, 5, 0)</f>
        <v>2</v>
      </c>
      <c r="K108" s="17">
        <f>IF(I108="", 0, IF(OR(I108=0, AND(J108=2, I108&gt;6.6), AND(J108=3, I108&gt;8.6), AND(J108=5, I108&gt;14.1)), 1, 0))</f>
        <v>0</v>
      </c>
      <c r="L108" s="18"/>
      <c r="M108" s="18">
        <v>45.6</v>
      </c>
    </row>
    <row r="109" spans="1:13">
      <c r="A109" s="5">
        <v>46085</v>
      </c>
      <c r="B109" s="6">
        <v>0.40277777777777779</v>
      </c>
      <c r="C109" s="6" t="s">
        <v>32</v>
      </c>
      <c r="D109" s="7" t="s">
        <v>34</v>
      </c>
      <c r="E109" s="7">
        <v>202511017</v>
      </c>
      <c r="F109" s="7">
        <v>83.3</v>
      </c>
      <c r="G109" s="7"/>
      <c r="H109" s="8">
        <v>18</v>
      </c>
      <c r="I109" s="7">
        <v>7.82</v>
      </c>
      <c r="J109" s="7">
        <f>VLOOKUP(D109, [1]設備資料!$A:$E, 5, 0)</f>
        <v>3</v>
      </c>
      <c r="K109" s="7">
        <f>IF(I109="", 0, IF(OR(I109=0, AND(J109=2, I109&gt;6.6), AND(J109=3, I109&gt;8.6), AND(J109=5, I109&gt;14.1)), 1, 0))</f>
        <v>0</v>
      </c>
      <c r="L109" s="8"/>
      <c r="M109" s="8">
        <v>45.6</v>
      </c>
    </row>
    <row r="110" spans="1:13">
      <c r="A110" s="15">
        <v>46085</v>
      </c>
      <c r="B110" s="16">
        <v>0.40277777777777779</v>
      </c>
      <c r="C110" s="16" t="s">
        <v>32</v>
      </c>
      <c r="D110" s="17" t="s">
        <v>35</v>
      </c>
      <c r="E110" s="17">
        <v>202511005</v>
      </c>
      <c r="F110" s="17">
        <v>103.9</v>
      </c>
      <c r="G110" s="17"/>
      <c r="H110" s="18">
        <v>18</v>
      </c>
      <c r="I110" s="17">
        <v>13.81</v>
      </c>
      <c r="J110" s="17">
        <f>VLOOKUP(D110, [1]設備資料!$A:$E, 5, 0)</f>
        <v>5</v>
      </c>
      <c r="K110" s="17">
        <f>IF(I110="", 0, IF(OR(I110=0, AND(J110=2, I110&gt;6.6), AND(J110=3, I110&gt;8.6), AND(J110=5, I110&gt;14.1)), 1, 0))</f>
        <v>0</v>
      </c>
      <c r="L110" s="18"/>
      <c r="M110" s="18">
        <v>45.6</v>
      </c>
    </row>
    <row r="111" spans="1:13">
      <c r="A111" s="5">
        <v>46085</v>
      </c>
      <c r="B111" s="6">
        <v>0.40277777777777779</v>
      </c>
      <c r="C111" s="6" t="s">
        <v>32</v>
      </c>
      <c r="D111" s="7" t="s">
        <v>36</v>
      </c>
      <c r="E111" s="7" t="s">
        <v>37</v>
      </c>
      <c r="F111" s="7">
        <v>105.8</v>
      </c>
      <c r="G111" s="7"/>
      <c r="H111" s="8">
        <v>18</v>
      </c>
      <c r="I111" s="7">
        <v>13.88</v>
      </c>
      <c r="J111" s="7">
        <f>VLOOKUP(D111, [1]設備資料!$A:$E, 5, 0)</f>
        <v>5</v>
      </c>
      <c r="K111" s="7">
        <f>IF(I111="", 0, IF(OR(I111=0, AND(J111=2, I111&gt;6.6), AND(J111=3, I111&gt;8.6), AND(J111=5, I111&gt;14.1)), 1, 0))</f>
        <v>0</v>
      </c>
      <c r="L111" s="8"/>
      <c r="M111" s="8">
        <v>45.6</v>
      </c>
    </row>
    <row r="112" spans="1:13">
      <c r="A112" s="15">
        <v>46085</v>
      </c>
      <c r="B112" s="16">
        <v>0.6875</v>
      </c>
      <c r="C112" s="16" t="s">
        <v>19</v>
      </c>
      <c r="D112" s="17" t="s">
        <v>16</v>
      </c>
      <c r="E112" s="17">
        <v>202510001</v>
      </c>
      <c r="F112" s="17">
        <v>75.900000000000006</v>
      </c>
      <c r="G112" s="17"/>
      <c r="H112" s="18">
        <v>21</v>
      </c>
      <c r="I112" s="17"/>
      <c r="J112" s="17">
        <f>VLOOKUP(D112, [1]設備資料!$A:$E, 5, 0)</f>
        <v>2</v>
      </c>
      <c r="K112" s="17">
        <f>IF(I112="", 0, IF(OR(I112=0, AND(J112=2, I112&gt;6.6), AND(J112=3, I112&gt;8.6), AND(J112=5, I112&gt;14.1)), 1, 0))</f>
        <v>0</v>
      </c>
      <c r="L112" s="18">
        <v>45.4</v>
      </c>
      <c r="M112" s="18"/>
    </row>
    <row r="113" spans="1:13">
      <c r="A113" s="5">
        <v>46085</v>
      </c>
      <c r="B113" s="6">
        <v>0.6875</v>
      </c>
      <c r="C113" s="6" t="s">
        <v>19</v>
      </c>
      <c r="D113" s="7" t="s">
        <v>20</v>
      </c>
      <c r="E113" s="7">
        <v>202510006</v>
      </c>
      <c r="F113" s="7">
        <v>75.900000000000006</v>
      </c>
      <c r="G113" s="7"/>
      <c r="H113" s="8">
        <v>21</v>
      </c>
      <c r="I113" s="7"/>
      <c r="J113" s="7">
        <f>VLOOKUP(D113, [1]設備資料!$A:$E, 5, 0)</f>
        <v>2</v>
      </c>
      <c r="K113" s="7">
        <f>IF(I113="", 0, IF(OR(I113=0, AND(J113=2, I113&gt;6.6), AND(J113=3, I113&gt;8.6), AND(J113=5, I113&gt;14.1)), 1, 0))</f>
        <v>0</v>
      </c>
      <c r="L113" s="8">
        <v>45.4</v>
      </c>
      <c r="M113" s="8"/>
    </row>
    <row r="114" spans="1:13">
      <c r="A114" s="15">
        <v>46085</v>
      </c>
      <c r="B114" s="16">
        <v>0.6875</v>
      </c>
      <c r="C114" s="16" t="s">
        <v>19</v>
      </c>
      <c r="D114" s="17" t="s">
        <v>23</v>
      </c>
      <c r="E114" s="17">
        <v>202511011</v>
      </c>
      <c r="F114" s="17">
        <v>71.7</v>
      </c>
      <c r="G114" s="17"/>
      <c r="H114" s="18">
        <v>21</v>
      </c>
      <c r="I114" s="17"/>
      <c r="J114" s="17">
        <f>VLOOKUP(D114, [1]設備資料!$A:$E, 5, 0)</f>
        <v>3</v>
      </c>
      <c r="K114" s="17">
        <f>IF(I114="", 0, IF(OR(I114=0, AND(J114=2, I114&gt;6.6), AND(J114=3, I114&gt;8.6), AND(J114=5, I114&gt;14.1)), 1, 0))</f>
        <v>0</v>
      </c>
      <c r="L114" s="18">
        <v>45.4</v>
      </c>
      <c r="M114" s="18"/>
    </row>
    <row r="115" spans="1:13">
      <c r="A115" s="5">
        <v>46085</v>
      </c>
      <c r="B115" s="6">
        <v>0.6875</v>
      </c>
      <c r="C115" s="6" t="s">
        <v>19</v>
      </c>
      <c r="D115" s="7" t="s">
        <v>24</v>
      </c>
      <c r="E115" s="7">
        <v>202511012</v>
      </c>
      <c r="F115" s="7">
        <v>82.8</v>
      </c>
      <c r="G115" s="7"/>
      <c r="H115" s="8">
        <v>21</v>
      </c>
      <c r="I115" s="7"/>
      <c r="J115" s="7">
        <f>VLOOKUP(D115, [1]設備資料!$A:$E, 5, 0)</f>
        <v>3</v>
      </c>
      <c r="K115" s="7">
        <f>IF(I115="", 0, IF(OR(I115=0, AND(J115=2, I115&gt;6.6), AND(J115=3, I115&gt;8.6), AND(J115=5, I115&gt;14.1)), 1, 0))</f>
        <v>0</v>
      </c>
      <c r="L115" s="8">
        <v>45.4</v>
      </c>
      <c r="M115" s="8"/>
    </row>
    <row r="116" spans="1:13">
      <c r="A116" s="15">
        <v>46085</v>
      </c>
      <c r="B116" s="16">
        <v>0.6875</v>
      </c>
      <c r="C116" s="16" t="s">
        <v>19</v>
      </c>
      <c r="D116" s="17" t="s">
        <v>25</v>
      </c>
      <c r="E116" s="17">
        <v>202511001</v>
      </c>
      <c r="F116" s="17">
        <v>81.599999999999994</v>
      </c>
      <c r="G116" s="17"/>
      <c r="H116" s="18">
        <v>21</v>
      </c>
      <c r="I116" s="17"/>
      <c r="J116" s="17">
        <f>VLOOKUP(D116, [1]設備資料!$A:$E, 5, 0)</f>
        <v>5</v>
      </c>
      <c r="K116" s="17">
        <f>IF(I116="", 0, IF(OR(I116=0, AND(J116=2, I116&gt;6.6), AND(J116=3, I116&gt;8.6), AND(J116=5, I116&gt;14.1)), 1, 0))</f>
        <v>0</v>
      </c>
      <c r="L116" s="18">
        <v>45.4</v>
      </c>
      <c r="M116" s="18"/>
    </row>
    <row r="117" spans="1:13">
      <c r="A117" s="5">
        <v>46085</v>
      </c>
      <c r="B117" s="6">
        <v>0.6875</v>
      </c>
      <c r="C117" s="6" t="s">
        <v>19</v>
      </c>
      <c r="D117" s="7" t="s">
        <v>26</v>
      </c>
      <c r="E117" s="7">
        <v>202511002</v>
      </c>
      <c r="F117" s="7">
        <v>104.6</v>
      </c>
      <c r="G117" s="7"/>
      <c r="H117" s="8">
        <v>21</v>
      </c>
      <c r="I117" s="7"/>
      <c r="J117" s="7">
        <f>VLOOKUP(D117, [1]設備資料!$A:$E, 5, 0)</f>
        <v>5</v>
      </c>
      <c r="K117" s="7">
        <f>IF(I117="", 0, IF(OR(I117=0, AND(J117=2, I117&gt;6.6), AND(J117=3, I117&gt;8.6), AND(J117=5, I117&gt;14.1)), 1, 0))</f>
        <v>0</v>
      </c>
      <c r="L117" s="8">
        <v>45.4</v>
      </c>
      <c r="M117" s="8"/>
    </row>
    <row r="118" spans="1:13">
      <c r="A118" s="15">
        <v>46085</v>
      </c>
      <c r="B118" s="16">
        <v>0.69444444444444442</v>
      </c>
      <c r="C118" s="16" t="s">
        <v>32</v>
      </c>
      <c r="D118" s="17" t="s">
        <v>31</v>
      </c>
      <c r="E118" s="17">
        <v>202510024</v>
      </c>
      <c r="F118" s="17">
        <v>75.900000000000006</v>
      </c>
      <c r="G118" s="17"/>
      <c r="H118" s="18">
        <v>21</v>
      </c>
      <c r="I118" s="17"/>
      <c r="J118" s="17">
        <f>VLOOKUP(D118, [1]設備資料!$A:$E, 5, 0)</f>
        <v>2</v>
      </c>
      <c r="K118" s="17">
        <f>IF(I118="", 0, IF(OR(I118=0, AND(J118=2, I118&gt;6.6), AND(J118=3, I118&gt;8.6), AND(J118=5, I118&gt;14.1)), 1, 0))</f>
        <v>0</v>
      </c>
      <c r="L118" s="18"/>
      <c r="M118" s="18">
        <v>44.6</v>
      </c>
    </row>
    <row r="119" spans="1:13">
      <c r="A119" s="5">
        <v>46085</v>
      </c>
      <c r="B119" s="6">
        <v>0.69444444444444442</v>
      </c>
      <c r="C119" s="6" t="s">
        <v>32</v>
      </c>
      <c r="D119" s="7" t="s">
        <v>33</v>
      </c>
      <c r="E119" s="7">
        <v>202510026</v>
      </c>
      <c r="F119" s="7">
        <v>78.900000000000006</v>
      </c>
      <c r="G119" s="7"/>
      <c r="H119" s="8">
        <v>21</v>
      </c>
      <c r="I119" s="7"/>
      <c r="J119" s="7">
        <f>VLOOKUP(D119, [1]設備資料!$A:$E, 5, 0)</f>
        <v>2</v>
      </c>
      <c r="K119" s="7">
        <f>IF(I119="", 0, IF(OR(I119=0, AND(J119=2, I119&gt;6.6), AND(J119=3, I119&gt;8.6), AND(J119=5, I119&gt;14.1)), 1, 0))</f>
        <v>0</v>
      </c>
      <c r="L119" s="8"/>
      <c r="M119" s="8">
        <v>44.6</v>
      </c>
    </row>
    <row r="120" spans="1:13">
      <c r="A120" s="15">
        <v>46085</v>
      </c>
      <c r="B120" s="16">
        <v>0.69444444444444442</v>
      </c>
      <c r="C120" s="16" t="s">
        <v>32</v>
      </c>
      <c r="D120" s="17" t="s">
        <v>34</v>
      </c>
      <c r="E120" s="17">
        <v>202511017</v>
      </c>
      <c r="F120" s="17">
        <v>81.900000000000006</v>
      </c>
      <c r="G120" s="17"/>
      <c r="H120" s="18">
        <v>21</v>
      </c>
      <c r="I120" s="17"/>
      <c r="J120" s="17">
        <f>VLOOKUP(D120, [1]設備資料!$A:$E, 5, 0)</f>
        <v>3</v>
      </c>
      <c r="K120" s="17">
        <f>IF(I120="", 0, IF(OR(I120=0, AND(J120=2, I120&gt;6.6), AND(J120=3, I120&gt;8.6), AND(J120=5, I120&gt;14.1)), 1, 0))</f>
        <v>0</v>
      </c>
      <c r="L120" s="18"/>
      <c r="M120" s="18">
        <v>44.6</v>
      </c>
    </row>
    <row r="121" spans="1:13">
      <c r="A121" s="5">
        <v>46085</v>
      </c>
      <c r="B121" s="6">
        <v>0.69444444444444442</v>
      </c>
      <c r="C121" s="6" t="s">
        <v>32</v>
      </c>
      <c r="D121" s="7" t="s">
        <v>35</v>
      </c>
      <c r="E121" s="7">
        <v>202511005</v>
      </c>
      <c r="F121" s="7">
        <v>106.4</v>
      </c>
      <c r="G121" s="7"/>
      <c r="H121" s="8">
        <v>21</v>
      </c>
      <c r="I121" s="7"/>
      <c r="J121" s="7">
        <f>VLOOKUP(D121, [1]設備資料!$A:$E, 5, 0)</f>
        <v>5</v>
      </c>
      <c r="K121" s="7">
        <f>IF(I121="", 0, IF(OR(I121=0, AND(J121=2, I121&gt;6.6), AND(J121=3, I121&gt;8.6), AND(J121=5, I121&gt;14.1)), 1, 0))</f>
        <v>0</v>
      </c>
      <c r="L121" s="8"/>
      <c r="M121" s="8">
        <v>44.6</v>
      </c>
    </row>
    <row r="122" spans="1:13">
      <c r="A122" s="15">
        <v>46085</v>
      </c>
      <c r="B122" s="16">
        <v>0.69444444444444442</v>
      </c>
      <c r="C122" s="16" t="s">
        <v>32</v>
      </c>
      <c r="D122" s="17" t="s">
        <v>36</v>
      </c>
      <c r="E122" s="17" t="s">
        <v>37</v>
      </c>
      <c r="F122" s="17">
        <v>107.6</v>
      </c>
      <c r="G122" s="17"/>
      <c r="H122" s="18">
        <v>21</v>
      </c>
      <c r="I122" s="17"/>
      <c r="J122" s="17">
        <f>VLOOKUP(D122, [1]設備資料!$A:$E, 5, 0)</f>
        <v>5</v>
      </c>
      <c r="K122" s="17">
        <f>IF(I122="", 0, IF(OR(I122=0, AND(J122=2, I122&gt;6.6), AND(J122=3, I122&gt;8.6), AND(J122=5, I122&gt;14.1)), 1, 0))</f>
        <v>0</v>
      </c>
      <c r="L122" s="18"/>
      <c r="M122" s="18">
        <v>44.6</v>
      </c>
    </row>
    <row r="123" spans="1:13">
      <c r="A123" s="5">
        <v>46087</v>
      </c>
      <c r="B123" s="6">
        <v>0.39583333333333331</v>
      </c>
      <c r="C123" s="6" t="s">
        <v>19</v>
      </c>
      <c r="D123" s="7" t="s">
        <v>16</v>
      </c>
      <c r="E123" s="7">
        <v>202510001</v>
      </c>
      <c r="F123" s="7">
        <v>76.3</v>
      </c>
      <c r="G123" s="7"/>
      <c r="H123" s="8">
        <v>21</v>
      </c>
      <c r="I123" s="7"/>
      <c r="J123" s="7">
        <f>VLOOKUP(D123, [1]設備資料!$A:$E, 5, 0)</f>
        <v>2</v>
      </c>
      <c r="K123" s="7">
        <f>IF(I123="", 0, IF(OR(I123=0, AND(J123=2, I123&gt;6.6), AND(J123=3, I123&gt;8.6), AND(J123=5, I123&gt;14.1)), 1, 0))</f>
        <v>0</v>
      </c>
      <c r="L123" s="8">
        <v>46.8</v>
      </c>
      <c r="M123" s="8"/>
    </row>
    <row r="124" spans="1:13">
      <c r="A124" s="15">
        <v>46087</v>
      </c>
      <c r="B124" s="16">
        <v>0.39583333333333331</v>
      </c>
      <c r="C124" s="16" t="s">
        <v>19</v>
      </c>
      <c r="D124" s="17" t="s">
        <v>20</v>
      </c>
      <c r="E124" s="17">
        <v>202510006</v>
      </c>
      <c r="F124" s="17">
        <v>72.8</v>
      </c>
      <c r="G124" s="17"/>
      <c r="H124" s="18">
        <v>21</v>
      </c>
      <c r="I124" s="17"/>
      <c r="J124" s="17">
        <f>VLOOKUP(D124, [1]設備資料!$A:$E, 5, 0)</f>
        <v>2</v>
      </c>
      <c r="K124" s="17">
        <f>IF(I124="", 0, IF(OR(I124=0, AND(J124=2, I124&gt;6.6), AND(J124=3, I124&gt;8.6), AND(J124=5, I124&gt;14.1)), 1, 0))</f>
        <v>0</v>
      </c>
      <c r="L124" s="18">
        <v>46.8</v>
      </c>
      <c r="M124" s="18"/>
    </row>
    <row r="125" spans="1:13">
      <c r="A125" s="5">
        <v>46087</v>
      </c>
      <c r="B125" s="6">
        <v>0.39583333333333331</v>
      </c>
      <c r="C125" s="6" t="s">
        <v>19</v>
      </c>
      <c r="D125" s="7" t="s">
        <v>23</v>
      </c>
      <c r="E125" s="7">
        <v>202511011</v>
      </c>
      <c r="F125" s="7">
        <v>84.2</v>
      </c>
      <c r="G125" s="7"/>
      <c r="H125" s="8">
        <v>21</v>
      </c>
      <c r="I125" s="7"/>
      <c r="J125" s="7">
        <f>VLOOKUP(D125, [1]設備資料!$A:$E, 5, 0)</f>
        <v>3</v>
      </c>
      <c r="K125" s="7">
        <f>IF(I125="", 0, IF(OR(I125=0, AND(J125=2, I125&gt;6.6), AND(J125=3, I125&gt;8.6), AND(J125=5, I125&gt;14.1)), 1, 0))</f>
        <v>0</v>
      </c>
      <c r="L125" s="8">
        <v>46.8</v>
      </c>
      <c r="M125" s="8"/>
    </row>
    <row r="126" spans="1:13">
      <c r="A126" s="15">
        <v>46087</v>
      </c>
      <c r="B126" s="16">
        <v>0.39583333333333331</v>
      </c>
      <c r="C126" s="16" t="s">
        <v>19</v>
      </c>
      <c r="D126" s="17" t="s">
        <v>24</v>
      </c>
      <c r="E126" s="17">
        <v>202511012</v>
      </c>
      <c r="F126" s="17">
        <v>83</v>
      </c>
      <c r="G126" s="17"/>
      <c r="H126" s="18">
        <v>21</v>
      </c>
      <c r="I126" s="17"/>
      <c r="J126" s="17">
        <f>VLOOKUP(D126, [1]設備資料!$A:$E, 5, 0)</f>
        <v>3</v>
      </c>
      <c r="K126" s="17">
        <f>IF(I126="", 0, IF(OR(I126=0, AND(J126=2, I126&gt;6.6), AND(J126=3, I126&gt;8.6), AND(J126=5, I126&gt;14.1)), 1, 0))</f>
        <v>0</v>
      </c>
      <c r="L126" s="18">
        <v>46.8</v>
      </c>
      <c r="M126" s="18"/>
    </row>
    <row r="127" spans="1:13">
      <c r="A127" s="5">
        <v>46087</v>
      </c>
      <c r="B127" s="6">
        <v>0.39583333333333331</v>
      </c>
      <c r="C127" s="6" t="s">
        <v>19</v>
      </c>
      <c r="D127" s="7" t="s">
        <v>25</v>
      </c>
      <c r="E127" s="7">
        <v>202511001</v>
      </c>
      <c r="F127" s="7">
        <v>106</v>
      </c>
      <c r="G127" s="7"/>
      <c r="H127" s="8">
        <v>21</v>
      </c>
      <c r="I127" s="7"/>
      <c r="J127" s="7">
        <f>VLOOKUP(D127, [1]設備資料!$A:$E, 5, 0)</f>
        <v>5</v>
      </c>
      <c r="K127" s="7">
        <f>IF(I127="", 0, IF(OR(I127=0, AND(J127=2, I127&gt;6.6), AND(J127=3, I127&gt;8.6), AND(J127=5, I127&gt;14.1)), 1, 0))</f>
        <v>0</v>
      </c>
      <c r="L127" s="8">
        <v>46.8</v>
      </c>
      <c r="M127" s="8"/>
    </row>
    <row r="128" spans="1:13">
      <c r="A128" s="15">
        <v>46087</v>
      </c>
      <c r="B128" s="16">
        <v>0.39583333333333331</v>
      </c>
      <c r="C128" s="16" t="s">
        <v>19</v>
      </c>
      <c r="D128" s="17" t="s">
        <v>26</v>
      </c>
      <c r="E128" s="17">
        <v>202511002</v>
      </c>
      <c r="F128" s="17">
        <v>101.8</v>
      </c>
      <c r="G128" s="17"/>
      <c r="H128" s="18">
        <v>21</v>
      </c>
      <c r="I128" s="17"/>
      <c r="J128" s="17">
        <f>VLOOKUP(D128, [1]設備資料!$A:$E, 5, 0)</f>
        <v>5</v>
      </c>
      <c r="K128" s="17">
        <f>IF(I128="", 0, IF(OR(I128=0, AND(J128=2, I128&gt;6.6), AND(J128=3, I128&gt;8.6), AND(J128=5, I128&gt;14.1)), 1, 0))</f>
        <v>0</v>
      </c>
      <c r="L128" s="18">
        <v>46.8</v>
      </c>
      <c r="M128" s="18"/>
    </row>
    <row r="129" spans="1:13">
      <c r="A129" s="5">
        <v>46087</v>
      </c>
      <c r="B129" s="6">
        <v>0.40277777777777779</v>
      </c>
      <c r="C129" s="6" t="s">
        <v>32</v>
      </c>
      <c r="D129" s="7" t="s">
        <v>31</v>
      </c>
      <c r="E129" s="7">
        <v>202510024</v>
      </c>
      <c r="F129" s="7">
        <v>76.900000000000006</v>
      </c>
      <c r="G129" s="7"/>
      <c r="H129" s="8">
        <v>21</v>
      </c>
      <c r="I129" s="7"/>
      <c r="J129" s="7">
        <f>VLOOKUP(D129, [1]設備資料!$A:$E, 5, 0)</f>
        <v>2</v>
      </c>
      <c r="K129" s="7">
        <f>IF(I129="", 0, IF(OR(I129=0, AND(J129=2, I129&gt;6.6), AND(J129=3, I129&gt;8.6), AND(J129=5, I129&gt;14.1)), 1, 0))</f>
        <v>0</v>
      </c>
      <c r="L129" s="8"/>
      <c r="M129" s="8">
        <v>45.8</v>
      </c>
    </row>
    <row r="130" spans="1:13">
      <c r="A130" s="15">
        <v>46087</v>
      </c>
      <c r="B130" s="16">
        <v>0.40277777777777779</v>
      </c>
      <c r="C130" s="16" t="s">
        <v>32</v>
      </c>
      <c r="D130" s="17" t="s">
        <v>33</v>
      </c>
      <c r="E130" s="17">
        <v>202510026</v>
      </c>
      <c r="F130" s="17">
        <v>80.599999999999994</v>
      </c>
      <c r="G130" s="17"/>
      <c r="H130" s="18">
        <v>21</v>
      </c>
      <c r="I130" s="17"/>
      <c r="J130" s="17">
        <f>VLOOKUP(D130, [1]設備資料!$A:$E, 5, 0)</f>
        <v>2</v>
      </c>
      <c r="K130" s="17">
        <f>IF(I130="", 0, IF(OR(I130=0, AND(J130=2, I130&gt;6.6), AND(J130=3, I130&gt;8.6), AND(J130=5, I130&gt;14.1)), 1, 0))</f>
        <v>0</v>
      </c>
      <c r="L130" s="18"/>
      <c r="M130" s="18">
        <v>45.8</v>
      </c>
    </row>
    <row r="131" spans="1:13">
      <c r="A131" s="5">
        <v>46087</v>
      </c>
      <c r="B131" s="6">
        <v>0.40277777777777779</v>
      </c>
      <c r="C131" s="6" t="s">
        <v>32</v>
      </c>
      <c r="D131" s="7" t="s">
        <v>34</v>
      </c>
      <c r="E131" s="7">
        <v>202511017</v>
      </c>
      <c r="F131" s="7">
        <v>83</v>
      </c>
      <c r="G131" s="7"/>
      <c r="H131" s="8">
        <v>21</v>
      </c>
      <c r="I131" s="7"/>
      <c r="J131" s="7">
        <f>VLOOKUP(D131, [1]設備資料!$A:$E, 5, 0)</f>
        <v>3</v>
      </c>
      <c r="K131" s="7">
        <f>IF(I131="", 0, IF(OR(I131=0, AND(J131=2, I131&gt;6.6), AND(J131=3, I131&gt;8.6), AND(J131=5, I131&gt;14.1)), 1, 0))</f>
        <v>0</v>
      </c>
      <c r="L131" s="8"/>
      <c r="M131" s="8">
        <v>45.8</v>
      </c>
    </row>
    <row r="132" spans="1:13">
      <c r="A132" s="15">
        <v>46087</v>
      </c>
      <c r="B132" s="16">
        <v>0.40277777777777779</v>
      </c>
      <c r="C132" s="16" t="s">
        <v>32</v>
      </c>
      <c r="D132" s="17" t="s">
        <v>35</v>
      </c>
      <c r="E132" s="17">
        <v>202511005</v>
      </c>
      <c r="F132" s="17">
        <v>110.1</v>
      </c>
      <c r="G132" s="17"/>
      <c r="H132" s="18">
        <v>21</v>
      </c>
      <c r="I132" s="17"/>
      <c r="J132" s="17">
        <f>VLOOKUP(D132, [1]設備資料!$A:$E, 5, 0)</f>
        <v>5</v>
      </c>
      <c r="K132" s="17">
        <f>IF(I132="", 0, IF(OR(I132=0, AND(J132=2, I132&gt;6.6), AND(J132=3, I132&gt;8.6), AND(J132=5, I132&gt;14.1)), 1, 0))</f>
        <v>0</v>
      </c>
      <c r="L132" s="18"/>
      <c r="M132" s="18">
        <v>45.8</v>
      </c>
    </row>
    <row r="133" spans="1:13">
      <c r="A133" s="19">
        <v>46087</v>
      </c>
      <c r="B133" s="20">
        <v>0.40277777777777779</v>
      </c>
      <c r="C133" s="20" t="s">
        <v>32</v>
      </c>
      <c r="D133" s="21" t="s">
        <v>36</v>
      </c>
      <c r="E133" s="21" t="s">
        <v>37</v>
      </c>
      <c r="F133" s="21">
        <v>112.1</v>
      </c>
      <c r="G133" s="21"/>
      <c r="H133" s="22">
        <v>21</v>
      </c>
      <c r="I133" s="21"/>
      <c r="J133" s="21">
        <f>VLOOKUP(D133, [1]設備資料!$A:$E, 5, 0)</f>
        <v>5</v>
      </c>
      <c r="K133" s="21">
        <f>IF(I133="", 0, IF(OR(I133=0, AND(J133=2, I133&gt;6.6), AND(J133=3, I133&gt;8.6), AND(J133=5, I133&gt;14.1)), 1, 0))</f>
        <v>0</v>
      </c>
      <c r="L133" s="22"/>
      <c r="M133" s="22">
        <v>45.8</v>
      </c>
    </row>
  </sheetData>
  <phoneticPr fontId="2" type="noConversion"/>
  <conditionalFormatting sqref="K2:K133">
    <cfRule type="expression" dxfId="0" priority="1">
      <formula>$K2=1</formula>
    </cfRule>
  </conditionalFormatting>
  <dataValidations count="1">
    <dataValidation type="date" allowBlank="1" showInputMessage="1" showErrorMessage="1" sqref="A2:A133" xr:uid="{2E3F2CCF-6C90-4708-9FF4-F644D587F0D3}">
      <formula1>46057</formula1>
      <formula2>46207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監測總表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Tamara_Trejos(候旦妮)_大井泵浦</dc:creator>
  <cp:lastModifiedBy>Tamara_Trejos(候旦妮)_大井泵浦</cp:lastModifiedBy>
  <dcterms:created xsi:type="dcterms:W3CDTF">2026-03-23T08:05:22Z</dcterms:created>
  <dcterms:modified xsi:type="dcterms:W3CDTF">2026-03-23T08:09:56Z</dcterms:modified>
</cp:coreProperties>
</file>